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sinacoruripe-my.sharepoint.com/personal/vinicius_bianchi_usinacoruripe_com_br/Documents/Área de Trabalho/SAFRA 2026/Mapas 2026/"/>
    </mc:Choice>
  </mc:AlternateContent>
  <xr:revisionPtr revIDLastSave="35" documentId="13_ncr:1_{51428D3A-6DA7-449B-814F-2BF000BEF987}" xr6:coauthVersionLast="47" xr6:coauthVersionMax="47" xr10:uidLastSave="{77742321-A50D-45FA-972A-1E70D71F7436}"/>
  <bookViews>
    <workbookView xWindow="-120" yWindow="-120" windowWidth="29040" windowHeight="15720" xr2:uid="{D31562D2-91C0-4340-8179-5B57EBF57CCC}"/>
  </bookViews>
  <sheets>
    <sheet name="Plantio 2026" sheetId="2" r:id="rId1"/>
    <sheet name="Planilha4" sheetId="5" r:id="rId2"/>
    <sheet name="Planilha3" sheetId="4" r:id="rId3"/>
    <sheet name="Planilha1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3" i="2" l="1"/>
  <c r="F143" i="2"/>
  <c r="E143" i="2"/>
  <c r="G200" i="2"/>
  <c r="F200" i="2"/>
  <c r="E200" i="2"/>
  <c r="D200" i="2"/>
  <c r="C200" i="2"/>
  <c r="G2" i="2"/>
  <c r="E232" i="2"/>
  <c r="F232" i="2"/>
  <c r="G232" i="2"/>
  <c r="D232" i="2"/>
  <c r="E228" i="2"/>
  <c r="F228" i="2"/>
  <c r="G228" i="2"/>
  <c r="D228" i="2"/>
  <c r="E210" i="2"/>
  <c r="F210" i="2"/>
  <c r="G210" i="2"/>
  <c r="D210" i="2"/>
  <c r="E203" i="2"/>
  <c r="F203" i="2"/>
  <c r="G203" i="2"/>
  <c r="D203" i="2"/>
  <c r="E194" i="2"/>
  <c r="F194" i="2"/>
  <c r="G194" i="2"/>
  <c r="D194" i="2"/>
  <c r="E188" i="2"/>
  <c r="F188" i="2"/>
  <c r="G188" i="2"/>
  <c r="D188" i="2"/>
  <c r="E186" i="2"/>
  <c r="F186" i="2"/>
  <c r="G186" i="2"/>
  <c r="D186" i="2"/>
  <c r="E182" i="2"/>
  <c r="F182" i="2"/>
  <c r="G182" i="2"/>
  <c r="D182" i="2"/>
  <c r="E180" i="2"/>
  <c r="F180" i="2"/>
  <c r="G180" i="2"/>
  <c r="D180" i="2"/>
  <c r="E145" i="2"/>
  <c r="F145" i="2"/>
  <c r="G145" i="2"/>
  <c r="D145" i="2"/>
  <c r="G143" i="2"/>
  <c r="E140" i="2"/>
  <c r="F140" i="2"/>
  <c r="G140" i="2"/>
  <c r="D140" i="2"/>
  <c r="E137" i="2"/>
  <c r="F137" i="2"/>
  <c r="G137" i="2"/>
  <c r="D137" i="2"/>
  <c r="E132" i="2"/>
  <c r="F132" i="2"/>
  <c r="G132" i="2"/>
  <c r="D132" i="2"/>
  <c r="E130" i="2"/>
  <c r="F130" i="2"/>
  <c r="G130" i="2"/>
  <c r="D130" i="2"/>
  <c r="E126" i="2"/>
  <c r="F126" i="2"/>
  <c r="G126" i="2"/>
  <c r="D126" i="2"/>
  <c r="E124" i="2"/>
  <c r="F124" i="2"/>
  <c r="G124" i="2"/>
  <c r="D124" i="2"/>
  <c r="E121" i="2"/>
  <c r="F121" i="2"/>
  <c r="G121" i="2"/>
  <c r="D121" i="2"/>
  <c r="E104" i="2"/>
  <c r="F104" i="2"/>
  <c r="G104" i="2"/>
  <c r="D104" i="2"/>
  <c r="E99" i="2"/>
  <c r="F99" i="2"/>
  <c r="G99" i="2"/>
  <c r="D99" i="2"/>
  <c r="E94" i="2"/>
  <c r="F94" i="2"/>
  <c r="G94" i="2"/>
  <c r="D94" i="2"/>
  <c r="E86" i="2"/>
  <c r="F86" i="2"/>
  <c r="G86" i="2"/>
  <c r="D86" i="2"/>
  <c r="E84" i="2"/>
  <c r="F84" i="2"/>
  <c r="G84" i="2"/>
  <c r="D84" i="2"/>
  <c r="E78" i="2"/>
  <c r="F78" i="2"/>
  <c r="G78" i="2"/>
  <c r="D78" i="2"/>
  <c r="E68" i="2"/>
  <c r="F68" i="2"/>
  <c r="G68" i="2"/>
  <c r="D68" i="2"/>
  <c r="E66" i="2"/>
  <c r="F66" i="2"/>
  <c r="G66" i="2"/>
  <c r="D66" i="2"/>
  <c r="E61" i="2"/>
  <c r="F61" i="2"/>
  <c r="G61" i="2"/>
  <c r="D61" i="2"/>
  <c r="E57" i="2"/>
  <c r="F57" i="2"/>
  <c r="G57" i="2"/>
  <c r="D57" i="2"/>
  <c r="E55" i="2"/>
  <c r="F55" i="2"/>
  <c r="G55" i="2"/>
  <c r="D55" i="2"/>
  <c r="E50" i="2"/>
  <c r="F50" i="2"/>
  <c r="G50" i="2"/>
  <c r="D50" i="2"/>
  <c r="E47" i="2"/>
  <c r="F47" i="2"/>
  <c r="G47" i="2"/>
  <c r="D47" i="2"/>
  <c r="G44" i="2"/>
  <c r="F44" i="2"/>
  <c r="E44" i="2"/>
  <c r="D44" i="2"/>
  <c r="G35" i="2"/>
  <c r="F35" i="2"/>
  <c r="E35" i="2"/>
  <c r="D35" i="2"/>
  <c r="E20" i="2"/>
  <c r="F20" i="2"/>
  <c r="G20" i="2"/>
  <c r="D20" i="2"/>
  <c r="E17" i="2"/>
  <c r="F17" i="2"/>
  <c r="G17" i="2"/>
  <c r="D17" i="2"/>
  <c r="C232" i="2"/>
  <c r="C228" i="2"/>
  <c r="C210" i="2"/>
  <c r="C203" i="2"/>
  <c r="C194" i="2"/>
  <c r="C188" i="2"/>
  <c r="C186" i="2"/>
  <c r="C182" i="2"/>
  <c r="C180" i="2"/>
  <c r="C145" i="2"/>
  <c r="C143" i="2"/>
  <c r="C140" i="2"/>
  <c r="C137" i="2"/>
  <c r="C132" i="2"/>
  <c r="C130" i="2"/>
  <c r="C126" i="2"/>
  <c r="C124" i="2"/>
  <c r="C121" i="2"/>
  <c r="C104" i="2"/>
  <c r="C99" i="2"/>
  <c r="C94" i="2"/>
  <c r="C86" i="2"/>
  <c r="C84" i="2"/>
  <c r="C78" i="2"/>
  <c r="C68" i="2"/>
  <c r="C66" i="2"/>
  <c r="C61" i="2"/>
  <c r="C57" i="2"/>
  <c r="C55" i="2"/>
  <c r="C50" i="2"/>
  <c r="C47" i="2"/>
  <c r="C44" i="2"/>
  <c r="C20" i="2"/>
  <c r="C35" i="2"/>
  <c r="C17" i="2"/>
  <c r="E233" i="2" l="1"/>
  <c r="F233" i="2"/>
  <c r="D233" i="2"/>
  <c r="G233" i="2"/>
  <c r="C233" i="2"/>
  <c r="C234" i="2" l="1"/>
</calcChain>
</file>

<file path=xl/sharedStrings.xml><?xml version="1.0" encoding="utf-8"?>
<sst xmlns="http://schemas.openxmlformats.org/spreadsheetml/2006/main" count="704" uniqueCount="275">
  <si>
    <t>ATUALIZADO ATÉ</t>
  </si>
  <si>
    <t>FORNECEDOR</t>
  </si>
  <si>
    <t>FAZENDA</t>
  </si>
  <si>
    <t>% PLANTADO</t>
  </si>
  <si>
    <t>ADEMIR FERREIRA DE MELLO</t>
  </si>
  <si>
    <t>000005 - OURO VERDE / DAS ALMAS</t>
  </si>
  <si>
    <t>000126 - FAZENDA ESTEIO - ADEMIR</t>
  </si>
  <si>
    <t>000324 - FAZENDA DAS ALMAS II</t>
  </si>
  <si>
    <t>000438 - FAZENDA JACUBA</t>
  </si>
  <si>
    <t>000479 - SANTA ALBERTINA</t>
  </si>
  <si>
    <t>000966 - FAZENDA JACUBA III</t>
  </si>
  <si>
    <t>001003 - PEDRA BRANCA E GAMELEIRA</t>
  </si>
  <si>
    <t>001202 - RANCHO DA ESPERANÇA</t>
  </si>
  <si>
    <t>001248 - SANTA ALBERTINA</t>
  </si>
  <si>
    <t>001269 - FAZENDA SANTA PAULA - SEBASTIAO</t>
  </si>
  <si>
    <t>EXP - 1343</t>
  </si>
  <si>
    <t>EXP SANTA MARTA(1341/1342)</t>
  </si>
  <si>
    <t>EXP 699 (Silo)</t>
  </si>
  <si>
    <t>ADEMIR FERREIRA DE MELLO JUNIO</t>
  </si>
  <si>
    <t>000050 - SITIO BELLA ESPERANÇA II</t>
  </si>
  <si>
    <t>001148 - SITIO BELLA ESPERANÇA IV</t>
  </si>
  <si>
    <t>ADEMIR FERREIRA DE M JUNIO</t>
  </si>
  <si>
    <t>ALEMAR ROGE SALOMAO</t>
  </si>
  <si>
    <t>000138 - SANTO ANDRE  II</t>
  </si>
  <si>
    <t>000280 - LAGEADO</t>
  </si>
  <si>
    <t>000475 - SAO FRANCISCO E MATA ESCURA</t>
  </si>
  <si>
    <t>000488 - FAZENDA SAGRADO CORAÇÃO DE JESU</t>
  </si>
  <si>
    <t>000516 - FAZENDA BAGAGEM DE CIMA</t>
  </si>
  <si>
    <t>000593 - MEDALHA MILAGROSA</t>
  </si>
  <si>
    <t>000999 - FAZENDA PEDRA BRANCA - LUIZ CEL</t>
  </si>
  <si>
    <t>001034 - BAGAGEM DE CIMA /SANTA TEREZINH</t>
  </si>
  <si>
    <t>001140 - SÃO RAFAEL - ALEMAR SALOMÃO</t>
  </si>
  <si>
    <t>001247 - DOURADOS - ALEMAR</t>
  </si>
  <si>
    <t>001286 - BOA VISTA ALEMAR</t>
  </si>
  <si>
    <t>EXP MATINHA 1344/1346</t>
  </si>
  <si>
    <t>EXP VIZINHA BETO PERES</t>
  </si>
  <si>
    <t>000294 - INDIANA</t>
  </si>
  <si>
    <t>ALMERITA DA CONCEICAO ROCHA XA</t>
  </si>
  <si>
    <t>000139 - FAZENDA SANTO INACIO - SIVALDO</t>
  </si>
  <si>
    <t>000382 - FAZENDA PALMEIRAS</t>
  </si>
  <si>
    <t>000638 - FAZENDA ANTONIO DE BULHÕES</t>
  </si>
  <si>
    <t>000938 - SITIO MACACO</t>
  </si>
  <si>
    <t>001239 - FAZENDA PLANALTO II - VALTUIR</t>
  </si>
  <si>
    <t>EXP 639 - SANTO INACIO</t>
  </si>
  <si>
    <t>EXP 1303</t>
  </si>
  <si>
    <t>EXP 1078</t>
  </si>
  <si>
    <t>ALMERITA DA CONCEI ROCHA XA</t>
  </si>
  <si>
    <t>AMADEU BERNARDES</t>
  </si>
  <si>
    <t>000120 - FAZENDA BOA VISTA - HERMES II</t>
  </si>
  <si>
    <t>000536 - FAZENDA BOA VISTA - BOTELHO</t>
  </si>
  <si>
    <t>BEATRIZ GAMBARATO KRASTEL</t>
  </si>
  <si>
    <t>000974 - FAZENDA SAO SEBASTIAO</t>
  </si>
  <si>
    <t>000980 - SITIO AROEIRA</t>
  </si>
  <si>
    <t>BENEDITO MARQUES GAMBARATO</t>
  </si>
  <si>
    <t>000342 - FAZENDA SANTO INÁCIO</t>
  </si>
  <si>
    <t>000532 - SANTA LUZIA</t>
  </si>
  <si>
    <t>000915 - FAZENDA BOA VISTA - ANTIGA CLAU</t>
  </si>
  <si>
    <t>000951 - FAZENDA CAPAO GROSSO OU BORGES</t>
  </si>
  <si>
    <t>BENEDITO MARQ GAMBARATO</t>
  </si>
  <si>
    <t>BENEDITO MARQUES GAMBARATO JUN</t>
  </si>
  <si>
    <t>000478 - SÍTIO SÃO JOSÉ</t>
  </si>
  <si>
    <t>CARLOS EDUARDO DERUSSI DE AQUI</t>
  </si>
  <si>
    <t>000634 - C.A.B. AGRO PECUARIA LTDA</t>
  </si>
  <si>
    <t>001215 - CAMPO FLORIDO - CARLOS AQUINO</t>
  </si>
  <si>
    <t>EXP 1335</t>
  </si>
  <si>
    <t>CARLOS EDU DERUSSI DE AQUI</t>
  </si>
  <si>
    <t>CARLOS HENRIQUE RODRIGUES VIEI</t>
  </si>
  <si>
    <t>000610 - FAZENDA SOLAMAR II e III</t>
  </si>
  <si>
    <t>000624 - FAZENDA PEDRA BRANCA  - ENI</t>
  </si>
  <si>
    <t>EXP 1174</t>
  </si>
  <si>
    <t>EXP 1338 (PATIO TORTA)</t>
  </si>
  <si>
    <t>CARLOS HENR RODRIGUES VIEI</t>
  </si>
  <si>
    <t>CELIA DRUMSTA PRADO</t>
  </si>
  <si>
    <t>000150 - SANTA CLARA</t>
  </si>
  <si>
    <t>DAINE ANDERLEI FRANGIOSI</t>
  </si>
  <si>
    <t>001033 - FAZENDA NOSSA SENHORA DE FÁTIMA</t>
  </si>
  <si>
    <t>001036 - FAZENDA SÃO PEDRO</t>
  </si>
  <si>
    <t>001048 - FAZENDA SERTÃOZINHO II</t>
  </si>
  <si>
    <t>001049 - FAZENDA PIRACANJUBA</t>
  </si>
  <si>
    <t>001150 - SANTO INACIO II - ANDREZA</t>
  </si>
  <si>
    <t>001339 - SANTO INACIO</t>
  </si>
  <si>
    <t>EXP 1302</t>
  </si>
  <si>
    <t>EXP 1306</t>
  </si>
  <si>
    <t>EXP 1307</t>
  </si>
  <si>
    <t xml:space="preserve">DAINE ANDERLEI FRANGIOSI </t>
  </si>
  <si>
    <t>ENGELBERTO PERES DIAS DE OLIVE</t>
  </si>
  <si>
    <t>000687 - FAZENDA ENTRE RIOS</t>
  </si>
  <si>
    <t>000993 - FAZENDA SANTANA</t>
  </si>
  <si>
    <t>001020 - TALISMA</t>
  </si>
  <si>
    <t>001021 - OURO VERDE</t>
  </si>
  <si>
    <t>001123 - FAZENDA SANTA FÉ</t>
  </si>
  <si>
    <t xml:space="preserve">ENGELBERTO PERES DIAS DE OL </t>
  </si>
  <si>
    <t>ESPOLIO DE DORIVAL ZANQUETA</t>
  </si>
  <si>
    <t>ESPOLIO DE LUIZ OSVALDO FRANGI</t>
  </si>
  <si>
    <t>000146 - SANTO INACIO JABORANDI</t>
  </si>
  <si>
    <t>000245 - SANTO INACIO - CAMPO FLORIDO II</t>
  </si>
  <si>
    <t>000392 - SANTO INACIO - VA</t>
  </si>
  <si>
    <t>001006 - SANTA HELENA</t>
  </si>
  <si>
    <t>001110 - SANTA RITA E PONTE ALTA I</t>
  </si>
  <si>
    <t>001126 - FAZENDA SANTA RITA E PONTE ALTA</t>
  </si>
  <si>
    <t>001127 - FAZENDA SANTA RITA E PONTE ALTA</t>
  </si>
  <si>
    <t xml:space="preserve">ESPOLIO DE LUIZ OSVA FRANGI </t>
  </si>
  <si>
    <t>ESPOLIO DE MANOEL VITOR CONTIM</t>
  </si>
  <si>
    <t>000211 - ESPIRITO SANTO - MANOEL VITOR</t>
  </si>
  <si>
    <t>000282 - MATTA</t>
  </si>
  <si>
    <t>000435 - DA MATA II</t>
  </si>
  <si>
    <t>000960 - FAZENDA INHUMAS</t>
  </si>
  <si>
    <t>ESPOLIO DE MANOEL V CONTIM</t>
  </si>
  <si>
    <t>FELIPE DE BRITO BRUNOZZI</t>
  </si>
  <si>
    <t>000006 - SANTA  EDWIGES</t>
  </si>
  <si>
    <t>000121 - SANTO EXPEDITO GLEBA SÃO JOÃO</t>
  </si>
  <si>
    <t>001051 - FAZENDA BOA SORTE</t>
  </si>
  <si>
    <t>001259 - SANTO EXPEDITO GLEBA SÃO JOÃO I</t>
  </si>
  <si>
    <t xml:space="preserve">FELIPE DE BRITO BRUNOZZI </t>
  </si>
  <si>
    <t>GUILHERME OLIVEIRA ALVES</t>
  </si>
  <si>
    <t>000100 - FAZENDA PEDRA BRANCA - BARBAR I</t>
  </si>
  <si>
    <t>000353 - FAZENDA CÓRREGO ALEGRE - CELSO</t>
  </si>
  <si>
    <t>000370 - SITIO SANTO INACIO</t>
  </si>
  <si>
    <t xml:space="preserve">000371 - FAZENDA PEDRA BRANCA </t>
  </si>
  <si>
    <t>000436 - FAZENDA CANABARRO III</t>
  </si>
  <si>
    <t>000482 - SERTÃOZINHO</t>
  </si>
  <si>
    <t>000559 - FAZENDA CÓRREGO ALEGRE - OTAVIO</t>
  </si>
  <si>
    <t>000941 - CORREGO ALEGRE - VLASTEMIL</t>
  </si>
  <si>
    <t>001080 - FAZENDA CORREGO ALEGRE - BARBAR</t>
  </si>
  <si>
    <t>001175 - FAZENDA MATA DA CRUZ  - CELSO</t>
  </si>
  <si>
    <t>000425 - FAZENDA PEDRA BRANCA</t>
  </si>
  <si>
    <t>EXP 1311 GUANABARA</t>
  </si>
  <si>
    <t>EXP 1324</t>
  </si>
  <si>
    <t>EXP 1333</t>
  </si>
  <si>
    <t>EXP 1332</t>
  </si>
  <si>
    <t>000078 - SANTA ROSA</t>
  </si>
  <si>
    <t xml:space="preserve">GUILHERME OLIVEIRA ALVES </t>
  </si>
  <si>
    <t>IGOR GUILHERME GAMBARATO</t>
  </si>
  <si>
    <t>001227 - FAZENDA SÃO GABRIEL</t>
  </si>
  <si>
    <t xml:space="preserve">IGOR GUILHERME GAMBARATO </t>
  </si>
  <si>
    <t>IVONETE DE FATIMA DOS SANTOS B</t>
  </si>
  <si>
    <t>000025 - FAZENDA SANTO ANTONIO</t>
  </si>
  <si>
    <t xml:space="preserve">IVONETE DE FATIMA DOS SANTOS B </t>
  </si>
  <si>
    <t>JOAO APARECIDO ZANQUETA</t>
  </si>
  <si>
    <t>000630 - SÃO DOMINGOS</t>
  </si>
  <si>
    <t>001095 - FAZENDA CORREGO ALEGRE</t>
  </si>
  <si>
    <t>001195 - FAZENDA CORREGO ALEGRE - SINOMA</t>
  </si>
  <si>
    <t xml:space="preserve">JOAO APARECIDO ZANQUETA </t>
  </si>
  <si>
    <t>JOSE HUMBERTO (PABLO)</t>
  </si>
  <si>
    <t>000512 - FAZENDA SANTO INACIO</t>
  </si>
  <si>
    <t>JOSE UMBERTO(Pablo)</t>
  </si>
  <si>
    <t>JOSE FRANCISCO DE PAULA NETO</t>
  </si>
  <si>
    <t>001001 - FAZENDA MOENDA</t>
  </si>
  <si>
    <t>001015 - PRATA</t>
  </si>
  <si>
    <t>001124 - SÃO FRANCISCO I</t>
  </si>
  <si>
    <t>001196 - FAZENDA ESMERALDA</t>
  </si>
  <si>
    <t xml:space="preserve">JOSE FRANCISCO DE PAULA NETO </t>
  </si>
  <si>
    <t>LUCIANO CONTIM</t>
  </si>
  <si>
    <t>000209 - ESPIRITO SANTO LUCIANO</t>
  </si>
  <si>
    <t>EXP SPOT 1331</t>
  </si>
  <si>
    <t xml:space="preserve">LUCIANO CONTIM </t>
  </si>
  <si>
    <t>LUCILA LUCAS DA SILVA</t>
  </si>
  <si>
    <t>001050 - FAZENDA CACHOEIRA</t>
  </si>
  <si>
    <t>001206 - FAZENDA PEDRA BRANCA - FLORESTA</t>
  </si>
  <si>
    <t xml:space="preserve">LUCILA LUCAS DA SILVA </t>
  </si>
  <si>
    <t>LUIZ AFONSO ZANQUETA E OUTROS</t>
  </si>
  <si>
    <t>000461 - CORREGO ALEGRE II</t>
  </si>
  <si>
    <t xml:space="preserve">LUIZ AFONSO ZANQUETA E OU </t>
  </si>
  <si>
    <t>MARCOS CESAR BRUNOZZI E OUTROS</t>
  </si>
  <si>
    <t>000007 - FAZENDA SÃO SEBASTIÃO</t>
  </si>
  <si>
    <t>000037 - FAZENDA SANTA ADELAIDE</t>
  </si>
  <si>
    <t>000038 - FAZENDA SAO PEDRO</t>
  </si>
  <si>
    <t>000299 - PARAÍSO</t>
  </si>
  <si>
    <t>000434 - FAZENDA BOA VISTA II</t>
  </si>
  <si>
    <t>000490 - ESTRELA DO SUL</t>
  </si>
  <si>
    <t>000494 - CONTELIVA</t>
  </si>
  <si>
    <t>000627 - SANTA BÁRBARA - BRUNOZZI</t>
  </si>
  <si>
    <t>000653 - CONTELIVA  II</t>
  </si>
  <si>
    <t>001129 - FAZENDA COLORADO</t>
  </si>
  <si>
    <t>001132 - FAZENDA PARAÍSO</t>
  </si>
  <si>
    <t>001133 - FAZENDA SÃO LUIZ</t>
  </si>
  <si>
    <t>001137 - FAZENDA SÃO LUIZ  - MARCOS BRUN</t>
  </si>
  <si>
    <t>001139 - FAZENDA SÃO JOÃO</t>
  </si>
  <si>
    <t>001252 - UNIÃO - PEDRO MOSCHIAR</t>
  </si>
  <si>
    <t>001253 - SANTO ANTONIO - CELSO BARBOSA</t>
  </si>
  <si>
    <t>001263 - NOVAS ESPERANCA - ADALBERTO</t>
  </si>
  <si>
    <t>001264 - NOVA ESPERANCA - ADALBERTO</t>
  </si>
  <si>
    <t>001328 - NOVA ESPERANÇA</t>
  </si>
  <si>
    <t xml:space="preserve">MARCOS CESAR BRUNOZZI </t>
  </si>
  <si>
    <t>MARIA JOSE GAMBARATO VIEIRA</t>
  </si>
  <si>
    <t>000524 - SAO JOSE II</t>
  </si>
  <si>
    <t xml:space="preserve">MARIA JOSE GAMBARATO VIEIRA </t>
  </si>
  <si>
    <t>NATALIA DALPIAN LOPES</t>
  </si>
  <si>
    <t>000995 - FAZENDA SAO JOSE</t>
  </si>
  <si>
    <t>001209 - BELA VISTA/UNIAO</t>
  </si>
  <si>
    <t>001262 - FAZENDA BELA VISTA II - BRUNO B</t>
  </si>
  <si>
    <t xml:space="preserve">NATALIA DALPIAN LOPES </t>
  </si>
  <si>
    <t>NELSON LUIS GAMBARATO KRASTEL</t>
  </si>
  <si>
    <t>000323 - FAZENDA SÃO SEBASTIÃO</t>
  </si>
  <si>
    <t xml:space="preserve">NELSON LUIS GAMBA KRASTEL </t>
  </si>
  <si>
    <t>NELSON LUIS KRASTEL</t>
  </si>
  <si>
    <t>000077 - FAZENDA BOA VISTA</t>
  </si>
  <si>
    <t>000131 - FAZENDA GAMELEIRA</t>
  </si>
  <si>
    <t>EXP 1330</t>
  </si>
  <si>
    <t>EXP 205</t>
  </si>
  <si>
    <t>EXP SANTA TEREZA</t>
  </si>
  <si>
    <t xml:space="preserve">NELSON LUIS KRASTEL </t>
  </si>
  <si>
    <t>PRATA BIOENERGIA</t>
  </si>
  <si>
    <t>PEDRO RAMOS DA SILVA JUNIOR</t>
  </si>
  <si>
    <t>000267 - DO RETIRO</t>
  </si>
  <si>
    <t>EXP 1329</t>
  </si>
  <si>
    <t xml:space="preserve">PEDRO RAMOS DA SILVA JUNIOR </t>
  </si>
  <si>
    <t>PRIMO BERTIN NETO</t>
  </si>
  <si>
    <t>000043 - APARECIDA</t>
  </si>
  <si>
    <t>000216 - FAZENDA CÓRREGO ALEGRE - IARA</t>
  </si>
  <si>
    <t>000441 - FAZENDA CÓRREGO ALEGRE - FAUSTO</t>
  </si>
  <si>
    <t>000476 - NOSSA SENHORA DA ABADIA</t>
  </si>
  <si>
    <t>000976 - FAZENDA SANTO INACIO - MARCO TU</t>
  </si>
  <si>
    <t>000989 - FAZENDA SANTO INACIO - ADALBERT</t>
  </si>
  <si>
    <t xml:space="preserve">PRIMO BERTIN NETO </t>
  </si>
  <si>
    <t>SILVIO DE CASTRO CUNHA JUNIOR</t>
  </si>
  <si>
    <t>000011 - SAO SEBASTIAO - SILVIO</t>
  </si>
  <si>
    <t>000197 - FAZENDA NOVO MUNDO - RICARDO MI</t>
  </si>
  <si>
    <t xml:space="preserve">000352 - FLORESTA II </t>
  </si>
  <si>
    <t>000360 - FAZENDA CAPAO GROSSO OU BORGES</t>
  </si>
  <si>
    <t>000468 - FAZENDA SANTANA</t>
  </si>
  <si>
    <t>000611 - SAO SEBASTIAO  II</t>
  </si>
  <si>
    <t>000626 - FAZENDA SAO MARCOS</t>
  </si>
  <si>
    <t>000665 - FAZENDA CAPÃO GROSSO</t>
  </si>
  <si>
    <t>000668 - FAZENDA SANTOS REIS - MOACIR PE</t>
  </si>
  <si>
    <t>000750 - FAZENDA SANTA CLARA</t>
  </si>
  <si>
    <t>000751 - FAZENDA SANTA CLARA  II</t>
  </si>
  <si>
    <t>000935 - FAZENDA SANTA MARTA</t>
  </si>
  <si>
    <t>000940 - FAZENDA CRISTO REI</t>
  </si>
  <si>
    <t>001014 - FAZENDA SANTA MARTA III</t>
  </si>
  <si>
    <t>001037 - CAPÃO GROSSO</t>
  </si>
  <si>
    <t>001212 - CAPÃO GROSSO OU BORGES - TEREZI</t>
  </si>
  <si>
    <t>001243 - NOSSA SRA AP. - PALMIERI</t>
  </si>
  <si>
    <t>SILVIO DE CASTRO CUNHA NETO</t>
  </si>
  <si>
    <t>000982 - FAZENDA BARREIRO</t>
  </si>
  <si>
    <t>001002 - FAZENDA SONHOS</t>
  </si>
  <si>
    <t>001012 - SAO MARCOS</t>
  </si>
  <si>
    <t xml:space="preserve">SILVIO DE CASTRO CUNHA NETO </t>
  </si>
  <si>
    <t>Total</t>
  </si>
  <si>
    <t>Conferencia Mapa</t>
  </si>
  <si>
    <t>Enviado Cadastro</t>
  </si>
  <si>
    <t>Atualizado Sistema</t>
  </si>
  <si>
    <t>Mapa Recebido Fornecedor</t>
  </si>
  <si>
    <t>ENTREGA DE MAPAS - CAMPO FLORIDO  -  SAFRA  2026</t>
  </si>
  <si>
    <t>ok</t>
  </si>
  <si>
    <t>Faz Santa Helena - Dalvo</t>
  </si>
  <si>
    <t>Fazenda Morrinhos - Arthur</t>
  </si>
  <si>
    <t>Fazenda Morrinhos Toizinho</t>
  </si>
  <si>
    <t>Fazenda Pouso Alegre - Divino</t>
  </si>
  <si>
    <t>Fazenda Rio das Pedras</t>
  </si>
  <si>
    <t>EXP 1348(Viz 1148)</t>
  </si>
  <si>
    <t>OK</t>
  </si>
  <si>
    <t>% Recebido</t>
  </si>
  <si>
    <t>Obs</t>
  </si>
  <si>
    <t>LOTE 20 - 1093</t>
  </si>
  <si>
    <t>LOTE 104 - 1088</t>
  </si>
  <si>
    <t>LOTE 25 - 096</t>
  </si>
  <si>
    <t>LOTE 24 - 997</t>
  </si>
  <si>
    <t>LOTE 26 - 090</t>
  </si>
  <si>
    <t>LOTE 27 - 921</t>
  </si>
  <si>
    <t>LOTE 28 - 329</t>
  </si>
  <si>
    <t>LOTE 29 - 330</t>
  </si>
  <si>
    <t>LOTE 39 - 1087</t>
  </si>
  <si>
    <t>LOTE 41 - 157</t>
  </si>
  <si>
    <t>LOTE 46 - 158</t>
  </si>
  <si>
    <t>LOTE 49 - 160</t>
  </si>
  <si>
    <t>LOTE 66 - 169</t>
  </si>
  <si>
    <t>LOTE 81 - 088</t>
  </si>
  <si>
    <t>LOTE 90 - 1041</t>
  </si>
  <si>
    <t>Falta Variedade</t>
  </si>
  <si>
    <t>Carlos Henrique</t>
  </si>
  <si>
    <t>Falta Numero Fazenda-Aguardando Dudu</t>
  </si>
  <si>
    <t>ESPOLIO DE JESUS BERCI</t>
  </si>
  <si>
    <t>CORREGO ALEGRE</t>
  </si>
  <si>
    <t>Ainda sem 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</si>
</sst>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5" tint="-0.249977111117893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2"/>
      <name val="Calibri"/>
      <family val="2"/>
    </font>
    <font>
      <b/>
      <sz val="10"/>
      <name val="Courier New"/>
      <family val="3"/>
    </font>
    <font>
      <b/>
      <sz val="13"/>
      <name val="Calibri"/>
      <family val="2"/>
    </font>
    <font>
      <b/>
      <sz val="10"/>
      <name val="Courier New"/>
    </font>
    <font>
      <b/>
      <sz val="22"/>
      <name val="Calibri"/>
      <family val="2"/>
    </font>
    <font>
      <b/>
      <sz val="18"/>
      <name val="Calibri"/>
      <family val="2"/>
    </font>
    <font>
      <b/>
      <sz val="14"/>
      <name val="Courier New"/>
      <family val="3"/>
    </font>
    <font>
      <b/>
      <sz val="16"/>
      <color theme="1"/>
      <name val="Calibri"/>
      <family val="2"/>
      <scheme val="minor"/>
    </font>
    <font>
      <sz val="12"/>
      <name val="Calibri"/>
      <family val="2"/>
    </font>
    <font>
      <b/>
      <sz val="10"/>
      <color rgb="FFFF0000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 style="medium">
        <color auto="1"/>
      </right>
      <top style="hair">
        <color indexed="22"/>
      </top>
      <bottom style="hair">
        <color indexed="22"/>
      </bottom>
      <diagonal/>
    </border>
    <border>
      <left style="medium">
        <color auto="1"/>
      </left>
      <right style="medium">
        <color auto="1"/>
      </right>
      <top style="hair">
        <color indexed="22"/>
      </top>
      <bottom style="hair">
        <color indexed="22"/>
      </bottom>
      <diagonal/>
    </border>
    <border>
      <left style="hair">
        <color indexed="22"/>
      </left>
      <right/>
      <top style="hair">
        <color indexed="22"/>
      </top>
      <bottom style="hair">
        <color indexed="22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hair">
        <color indexed="22"/>
      </bottom>
      <diagonal/>
    </border>
    <border>
      <left style="hair">
        <color indexed="22"/>
      </left>
      <right style="hair">
        <color indexed="22"/>
      </right>
      <top/>
      <bottom style="hair">
        <color indexed="22"/>
      </bottom>
      <diagonal/>
    </border>
    <border>
      <left style="hair">
        <color indexed="22"/>
      </left>
      <right style="medium">
        <color auto="1"/>
      </right>
      <top/>
      <bottom style="hair">
        <color indexed="2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hair">
        <color indexed="22"/>
      </top>
      <bottom/>
      <diagonal/>
    </border>
    <border>
      <left style="medium">
        <color auto="1"/>
      </left>
      <right/>
      <top style="thick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5" fillId="0" borderId="4" xfId="0" quotePrefix="1" applyFont="1" applyBorder="1" applyAlignment="1">
      <alignment horizontal="left"/>
    </xf>
    <xf numFmtId="0" fontId="5" fillId="0" borderId="5" xfId="0" quotePrefix="1" applyFont="1" applyBorder="1" applyAlignment="1">
      <alignment horizontal="left"/>
    </xf>
    <xf numFmtId="10" fontId="5" fillId="0" borderId="6" xfId="0" applyNumberFormat="1" applyFont="1" applyBorder="1" applyAlignment="1">
      <alignment horizontal="right"/>
    </xf>
    <xf numFmtId="0" fontId="6" fillId="4" borderId="4" xfId="0" applyFont="1" applyFill="1" applyBorder="1" applyAlignment="1">
      <alignment horizontal="left" vertical="center"/>
    </xf>
    <xf numFmtId="0" fontId="6" fillId="4" borderId="7" xfId="0" quotePrefix="1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6" fillId="5" borderId="7" xfId="0" quotePrefix="1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/>
    </xf>
    <xf numFmtId="0" fontId="7" fillId="0" borderId="4" xfId="0" quotePrefix="1" applyFont="1" applyBorder="1" applyAlignment="1">
      <alignment horizontal="left"/>
    </xf>
    <xf numFmtId="0" fontId="0" fillId="0" borderId="8" xfId="0" applyBorder="1" applyAlignment="1">
      <alignment horizontal="center" vertical="center"/>
    </xf>
    <xf numFmtId="0" fontId="5" fillId="0" borderId="7" xfId="0" quotePrefix="1" applyFont="1" applyBorder="1" applyAlignment="1">
      <alignment horizontal="left"/>
    </xf>
    <xf numFmtId="0" fontId="8" fillId="2" borderId="0" xfId="0" quotePrefix="1" applyFont="1" applyFill="1" applyAlignment="1">
      <alignment horizontal="center" vertical="center"/>
    </xf>
    <xf numFmtId="0" fontId="9" fillId="2" borderId="0" xfId="0" quotePrefix="1" applyFont="1" applyFill="1" applyAlignment="1">
      <alignment horizontal="center" vertical="center"/>
    </xf>
    <xf numFmtId="0" fontId="4" fillId="3" borderId="11" xfId="0" quotePrefix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14" fontId="0" fillId="0" borderId="8" xfId="0" applyNumberFormat="1" applyBorder="1" applyAlignment="1">
      <alignment horizontal="center" vertical="center"/>
    </xf>
    <xf numFmtId="10" fontId="5" fillId="0" borderId="13" xfId="0" applyNumberFormat="1" applyFont="1" applyBorder="1" applyAlignment="1">
      <alignment horizontal="right"/>
    </xf>
    <xf numFmtId="0" fontId="4" fillId="3" borderId="9" xfId="0" quotePrefix="1" applyFont="1" applyFill="1" applyBorder="1" applyAlignment="1">
      <alignment horizontal="center" vertical="center"/>
    </xf>
    <xf numFmtId="0" fontId="5" fillId="0" borderId="14" xfId="0" quotePrefix="1" applyFont="1" applyBorder="1" applyAlignment="1">
      <alignment horizontal="left"/>
    </xf>
    <xf numFmtId="0" fontId="5" fillId="0" borderId="15" xfId="0" quotePrefix="1" applyFont="1" applyBorder="1" applyAlignment="1">
      <alignment horizontal="left"/>
    </xf>
    <xf numFmtId="0" fontId="4" fillId="3" borderId="16" xfId="0" quotePrefix="1" applyFont="1" applyFill="1" applyBorder="1" applyAlignment="1">
      <alignment horizontal="center" vertical="center"/>
    </xf>
    <xf numFmtId="0" fontId="4" fillId="3" borderId="17" xfId="0" quotePrefix="1" applyFont="1" applyFill="1" applyBorder="1" applyAlignment="1">
      <alignment horizontal="center" vertical="center" wrapText="1"/>
    </xf>
    <xf numFmtId="0" fontId="4" fillId="3" borderId="9" xfId="0" quotePrefix="1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right" vertical="center"/>
    </xf>
    <xf numFmtId="0" fontId="6" fillId="5" borderId="6" xfId="0" applyFont="1" applyFill="1" applyBorder="1" applyAlignment="1">
      <alignment horizontal="right" vertical="center"/>
    </xf>
    <xf numFmtId="0" fontId="6" fillId="5" borderId="18" xfId="0" applyFont="1" applyFill="1" applyBorder="1" applyAlignment="1">
      <alignment horizontal="right" vertical="center"/>
    </xf>
    <xf numFmtId="0" fontId="9" fillId="2" borderId="19" xfId="0" applyFont="1" applyFill="1" applyBorder="1" applyAlignment="1">
      <alignment horizontal="right" vertical="center"/>
    </xf>
    <xf numFmtId="0" fontId="2" fillId="0" borderId="10" xfId="0" applyFont="1" applyBorder="1" applyAlignment="1">
      <alignment horizontal="center" vertical="center"/>
    </xf>
    <xf numFmtId="14" fontId="3" fillId="0" borderId="12" xfId="0" applyNumberFormat="1" applyFont="1" applyBorder="1" applyAlignment="1">
      <alignment horizontal="center" vertical="center"/>
    </xf>
    <xf numFmtId="0" fontId="12" fillId="0" borderId="20" xfId="0" applyFont="1" applyBorder="1"/>
    <xf numFmtId="10" fontId="13" fillId="0" borderId="6" xfId="0" applyNumberFormat="1" applyFont="1" applyBorder="1" applyAlignment="1">
      <alignment horizontal="right"/>
    </xf>
    <xf numFmtId="10" fontId="11" fillId="0" borderId="16" xfId="0" applyNumberFormat="1" applyFont="1" applyBorder="1" applyAlignment="1">
      <alignment horizontal="center" vertical="center"/>
    </xf>
    <xf numFmtId="10" fontId="11" fillId="0" borderId="17" xfId="0" applyNumberFormat="1" applyFont="1" applyBorder="1" applyAlignment="1">
      <alignment horizontal="center" vertical="center"/>
    </xf>
    <xf numFmtId="10" fontId="11" fillId="0" borderId="11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  <border diagonalUp="0" diagonalDown="0">
        <left/>
        <right style="medium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auto="1"/>
        </left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medium">
          <color auto="1"/>
        </right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family val="3"/>
        <scheme val="none"/>
      </font>
      <alignment horizontal="left" vertical="bottom" textRotation="0" wrapText="0" indent="0" justifyLastLine="0" shrinkToFit="0" readingOrder="0"/>
      <border diagonalUp="0" diagonalDown="0" outline="0">
        <left style="hair">
          <color indexed="22"/>
        </left>
        <right style="hair">
          <color indexed="22"/>
        </right>
        <top style="hair">
          <color indexed="22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hair">
          <color indexed="22"/>
        </left>
        <right style="hair">
          <color indexed="22"/>
        </right>
        <top style="hair">
          <color indexed="22"/>
        </top>
        <bottom style="hair">
          <color indexed="22"/>
        </bottom>
        <vertical/>
        <horizontal/>
      </border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28575</xdr:rowOff>
    </xdr:from>
    <xdr:ext cx="1057275" cy="485775"/>
    <xdr:pic>
      <xdr:nvPicPr>
        <xdr:cNvPr id="2" name="Imagem 1" descr="Logomarca">
          <a:extLst>
            <a:ext uri="{FF2B5EF4-FFF2-40B4-BE49-F238E27FC236}">
              <a16:creationId xmlns:a16="http://schemas.microsoft.com/office/drawing/2014/main" id="{94340677-3B65-4E1C-A084-86E39068E85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8575"/>
          <a:ext cx="1057275" cy="4857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C2964E-3886-4CB2-BBCD-56F87F512405}" name="Tabela13" displayName="Tabela13" ref="A3:H233" totalsRowShown="0" headerRowDxfId="12" headerRowBorderDxfId="11">
  <autoFilter ref="A3:H233" xr:uid="{19C2964E-3886-4CB2-BBCD-56F87F512405}"/>
  <tableColumns count="8">
    <tableColumn id="6" xr3:uid="{D5817817-521E-40C7-B64C-65A639BD430E}" name="FORNECEDOR"/>
    <tableColumn id="2" xr3:uid="{B1B9ABF9-DE0A-45CE-8ED8-EF01B40E7CF0}" name="FAZENDA" dataDxfId="10" totalsRowDxfId="9"/>
    <tableColumn id="12" xr3:uid="{2CD8D2AA-9D9C-4467-AF6C-552E4C5B0C73}" name="% PLANTADO"/>
    <tableColumn id="5" xr3:uid="{42245812-51E8-4DBD-A976-2F838EC0A58A}" name="Mapa Recebido Fornecedor" dataDxfId="8" totalsRowDxfId="7"/>
    <tableColumn id="3" xr3:uid="{E4191DE8-7E8A-4461-B5F9-C884CD21480C}" name="Conferencia Mapa" dataDxfId="6" totalsRowDxfId="5"/>
    <tableColumn id="1" xr3:uid="{139D1E38-089C-400F-8884-6A75B708C3C7}" name="Enviado Cadastro" dataDxfId="4" totalsRowDxfId="3"/>
    <tableColumn id="13" xr3:uid="{2C8AD262-B221-44F8-B7C6-D6370A4DF8A5}" name="Atualizado Sistema" dataDxfId="2" totalsRowDxfId="1"/>
    <tableColumn id="7" xr3:uid="{FE46E243-E133-4930-961C-59B9081BF289}" name="Obs" totalsRow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9E12-A98A-4375-8FBB-6AAD2F03B6BB}">
  <dimension ref="A1:H234"/>
  <sheetViews>
    <sheetView tabSelected="1" topLeftCell="A60" workbookViewId="0">
      <selection activeCell="C73" sqref="C73"/>
    </sheetView>
  </sheetViews>
  <sheetFormatPr defaultRowHeight="15" x14ac:dyDescent="0.25"/>
  <cols>
    <col min="1" max="1" width="42.85546875" bestFit="1" customWidth="1"/>
    <col min="2" max="2" width="48" bestFit="1" customWidth="1"/>
    <col min="3" max="3" width="16.5703125" customWidth="1"/>
    <col min="4" max="7" width="17.7109375" customWidth="1"/>
    <col min="8" max="8" width="39.5703125" customWidth="1"/>
  </cols>
  <sheetData>
    <row r="1" spans="1:8" ht="15" customHeight="1" x14ac:dyDescent="0.25">
      <c r="A1" s="37" t="s">
        <v>243</v>
      </c>
      <c r="B1" s="38"/>
      <c r="C1" s="38"/>
      <c r="D1" s="38"/>
      <c r="E1" s="38"/>
      <c r="F1" s="39"/>
      <c r="G1" s="28" t="s">
        <v>0</v>
      </c>
    </row>
    <row r="2" spans="1:8" ht="30.75" customHeight="1" thickBot="1" x14ac:dyDescent="0.3">
      <c r="A2" s="40"/>
      <c r="B2" s="41"/>
      <c r="C2" s="41"/>
      <c r="D2" s="41"/>
      <c r="E2" s="41"/>
      <c r="F2" s="42"/>
      <c r="G2" s="29">
        <f ca="1">TODAY()</f>
        <v>46199</v>
      </c>
    </row>
    <row r="3" spans="1:8" ht="41.25" customHeight="1" thickBot="1" x14ac:dyDescent="0.3">
      <c r="A3" s="21" t="s">
        <v>1</v>
      </c>
      <c r="B3" s="18" t="s">
        <v>2</v>
      </c>
      <c r="C3" s="18" t="s">
        <v>3</v>
      </c>
      <c r="D3" s="22" t="s">
        <v>242</v>
      </c>
      <c r="E3" s="23" t="s">
        <v>239</v>
      </c>
      <c r="F3" s="14" t="s">
        <v>240</v>
      </c>
      <c r="G3" s="23" t="s">
        <v>241</v>
      </c>
      <c r="H3" s="30" t="s">
        <v>253</v>
      </c>
    </row>
    <row r="4" spans="1:8" x14ac:dyDescent="0.25">
      <c r="A4" s="19" t="s">
        <v>4</v>
      </c>
      <c r="B4" s="20" t="s">
        <v>5</v>
      </c>
      <c r="C4" s="17">
        <v>1</v>
      </c>
      <c r="D4" s="15" t="s">
        <v>244</v>
      </c>
      <c r="E4" s="15" t="s">
        <v>244</v>
      </c>
      <c r="F4" s="15" t="s">
        <v>244</v>
      </c>
      <c r="G4" s="10"/>
    </row>
    <row r="5" spans="1:8" x14ac:dyDescent="0.25">
      <c r="A5" s="1"/>
      <c r="B5" s="2" t="s">
        <v>6</v>
      </c>
      <c r="C5" s="3">
        <v>1</v>
      </c>
      <c r="D5" s="15" t="s">
        <v>244</v>
      </c>
      <c r="E5" s="15" t="s">
        <v>244</v>
      </c>
      <c r="F5" s="15" t="s">
        <v>244</v>
      </c>
      <c r="G5" s="10"/>
    </row>
    <row r="6" spans="1:8" x14ac:dyDescent="0.25">
      <c r="A6" s="1"/>
      <c r="B6" s="2" t="s">
        <v>7</v>
      </c>
      <c r="C6" s="3">
        <v>0</v>
      </c>
      <c r="D6" s="15"/>
      <c r="E6" s="15"/>
      <c r="F6" s="15"/>
      <c r="G6" s="10"/>
    </row>
    <row r="7" spans="1:8" x14ac:dyDescent="0.25">
      <c r="A7" s="1"/>
      <c r="B7" s="2" t="s">
        <v>8</v>
      </c>
      <c r="C7" s="3">
        <v>1</v>
      </c>
      <c r="D7" s="15" t="s">
        <v>244</v>
      </c>
      <c r="E7" s="15" t="s">
        <v>244</v>
      </c>
      <c r="F7" s="15" t="s">
        <v>244</v>
      </c>
      <c r="G7" s="10"/>
    </row>
    <row r="8" spans="1:8" x14ac:dyDescent="0.25">
      <c r="A8" s="1"/>
      <c r="B8" s="2" t="s">
        <v>9</v>
      </c>
      <c r="C8" s="3">
        <v>1</v>
      </c>
      <c r="D8" s="15" t="s">
        <v>244</v>
      </c>
      <c r="E8" s="15"/>
      <c r="F8" s="15"/>
      <c r="G8" s="10"/>
      <c r="H8" t="s">
        <v>269</v>
      </c>
    </row>
    <row r="9" spans="1:8" x14ac:dyDescent="0.25">
      <c r="A9" s="1"/>
      <c r="B9" s="2" t="s">
        <v>10</v>
      </c>
      <c r="C9" s="3">
        <v>1</v>
      </c>
      <c r="D9" s="15" t="s">
        <v>244</v>
      </c>
      <c r="E9" s="15" t="s">
        <v>244</v>
      </c>
      <c r="F9" s="15" t="s">
        <v>244</v>
      </c>
      <c r="G9" s="10"/>
    </row>
    <row r="10" spans="1:8" x14ac:dyDescent="0.25">
      <c r="A10" s="1"/>
      <c r="B10" s="2" t="s">
        <v>11</v>
      </c>
      <c r="C10" s="3">
        <v>1</v>
      </c>
      <c r="D10" s="15"/>
      <c r="E10" s="15"/>
      <c r="F10" s="15"/>
      <c r="G10" s="10"/>
    </row>
    <row r="11" spans="1:8" x14ac:dyDescent="0.25">
      <c r="A11" s="1"/>
      <c r="B11" s="2" t="s">
        <v>12</v>
      </c>
      <c r="C11" s="3">
        <v>0.82936901222332349</v>
      </c>
      <c r="D11" s="15" t="s">
        <v>244</v>
      </c>
      <c r="E11" s="15" t="s">
        <v>244</v>
      </c>
      <c r="F11" s="15" t="s">
        <v>244</v>
      </c>
      <c r="G11" s="10"/>
    </row>
    <row r="12" spans="1:8" x14ac:dyDescent="0.25">
      <c r="A12" s="1"/>
      <c r="B12" s="2" t="s">
        <v>13</v>
      </c>
      <c r="C12" s="3">
        <v>1</v>
      </c>
      <c r="D12" s="15" t="s">
        <v>244</v>
      </c>
      <c r="E12" s="15"/>
      <c r="F12" s="15"/>
      <c r="G12" s="10"/>
      <c r="H12" t="s">
        <v>269</v>
      </c>
    </row>
    <row r="13" spans="1:8" x14ac:dyDescent="0.25">
      <c r="A13" s="1"/>
      <c r="B13" s="2" t="s">
        <v>14</v>
      </c>
      <c r="C13" s="3">
        <v>1</v>
      </c>
      <c r="D13" s="15" t="s">
        <v>244</v>
      </c>
      <c r="E13" s="15"/>
      <c r="F13" s="15"/>
      <c r="G13" s="10"/>
      <c r="H13" t="s">
        <v>269</v>
      </c>
    </row>
    <row r="14" spans="1:8" x14ac:dyDescent="0.25">
      <c r="A14" s="1"/>
      <c r="B14" s="1" t="s">
        <v>15</v>
      </c>
      <c r="C14" s="3">
        <v>1</v>
      </c>
      <c r="D14" s="15" t="s">
        <v>244</v>
      </c>
      <c r="E14" s="15"/>
      <c r="F14" s="15"/>
      <c r="G14" s="10"/>
      <c r="H14" t="s">
        <v>269</v>
      </c>
    </row>
    <row r="15" spans="1:8" x14ac:dyDescent="0.25">
      <c r="A15" s="1"/>
      <c r="B15" s="2" t="s">
        <v>16</v>
      </c>
      <c r="C15" s="3">
        <v>0.94752186588921283</v>
      </c>
      <c r="D15" s="15" t="s">
        <v>244</v>
      </c>
      <c r="E15" s="15"/>
      <c r="F15" s="15"/>
      <c r="G15" s="10"/>
      <c r="H15" t="s">
        <v>269</v>
      </c>
    </row>
    <row r="16" spans="1:8" x14ac:dyDescent="0.25">
      <c r="A16" s="1"/>
      <c r="B16" s="1" t="s">
        <v>17</v>
      </c>
      <c r="C16" s="3">
        <v>1</v>
      </c>
      <c r="D16" s="15" t="s">
        <v>244</v>
      </c>
      <c r="E16" s="15"/>
      <c r="F16" s="15"/>
      <c r="G16" s="10"/>
      <c r="H16" t="s">
        <v>269</v>
      </c>
    </row>
    <row r="17" spans="1:8" ht="17.25" x14ac:dyDescent="0.25">
      <c r="A17" s="4" t="s">
        <v>4</v>
      </c>
      <c r="B17" s="5"/>
      <c r="C17" s="24">
        <f>COUNTIF(C4:C16,"&gt; 0,01%")</f>
        <v>12</v>
      </c>
      <c r="D17" s="24">
        <f>COUNTA(D4:D16)</f>
        <v>11</v>
      </c>
      <c r="E17" s="24">
        <f t="shared" ref="E17:G17" si="0">COUNTA(E4:E16)</f>
        <v>5</v>
      </c>
      <c r="F17" s="24">
        <f t="shared" si="0"/>
        <v>5</v>
      </c>
      <c r="G17" s="24">
        <f t="shared" si="0"/>
        <v>0</v>
      </c>
    </row>
    <row r="18" spans="1:8" x14ac:dyDescent="0.25">
      <c r="A18" s="1" t="s">
        <v>18</v>
      </c>
      <c r="B18" s="2" t="s">
        <v>19</v>
      </c>
      <c r="C18" s="3">
        <v>1</v>
      </c>
      <c r="D18" s="15" t="s">
        <v>244</v>
      </c>
      <c r="E18" s="15"/>
      <c r="F18" s="15"/>
      <c r="G18" s="10"/>
      <c r="H18" t="s">
        <v>269</v>
      </c>
    </row>
    <row r="19" spans="1:8" x14ac:dyDescent="0.25">
      <c r="A19" s="1"/>
      <c r="B19" s="2" t="s">
        <v>20</v>
      </c>
      <c r="C19" s="3">
        <v>1</v>
      </c>
      <c r="D19" s="15" t="s">
        <v>244</v>
      </c>
      <c r="E19" s="15"/>
      <c r="F19" s="15"/>
      <c r="G19" s="10"/>
      <c r="H19" t="s">
        <v>269</v>
      </c>
    </row>
    <row r="20" spans="1:8" ht="17.25" x14ac:dyDescent="0.25">
      <c r="A20" s="6" t="s">
        <v>21</v>
      </c>
      <c r="B20" s="7"/>
      <c r="C20" s="25">
        <f>COUNTIF(C18:C19,"&gt; 0,01%")</f>
        <v>2</v>
      </c>
      <c r="D20" s="25">
        <f>COUNTA(D18:D19)</f>
        <v>2</v>
      </c>
      <c r="E20" s="25">
        <f t="shared" ref="E20:G20" si="1">COUNTA(E18:E19)</f>
        <v>0</v>
      </c>
      <c r="F20" s="25">
        <f t="shared" si="1"/>
        <v>0</v>
      </c>
      <c r="G20" s="25">
        <f t="shared" si="1"/>
        <v>0</v>
      </c>
    </row>
    <row r="21" spans="1:8" x14ac:dyDescent="0.25">
      <c r="A21" s="1" t="s">
        <v>22</v>
      </c>
      <c r="B21" s="2" t="s">
        <v>23</v>
      </c>
      <c r="C21" s="31">
        <v>0.55000000000000004</v>
      </c>
      <c r="D21" s="15"/>
      <c r="E21" s="15"/>
      <c r="F21" s="15"/>
      <c r="G21" s="10"/>
    </row>
    <row r="22" spans="1:8" x14ac:dyDescent="0.25">
      <c r="A22" s="8"/>
      <c r="B22" s="2" t="s">
        <v>24</v>
      </c>
      <c r="C22" s="3">
        <v>0</v>
      </c>
      <c r="D22" s="15"/>
      <c r="E22" s="15"/>
      <c r="F22" s="15"/>
      <c r="G22" s="10"/>
    </row>
    <row r="23" spans="1:8" x14ac:dyDescent="0.25">
      <c r="A23" s="8"/>
      <c r="B23" s="2" t="s">
        <v>25</v>
      </c>
      <c r="C23" s="3">
        <v>1</v>
      </c>
      <c r="D23" s="15" t="s">
        <v>244</v>
      </c>
      <c r="E23" s="15" t="s">
        <v>244</v>
      </c>
      <c r="F23" s="15" t="s">
        <v>244</v>
      </c>
      <c r="G23" s="10"/>
    </row>
    <row r="24" spans="1:8" x14ac:dyDescent="0.25">
      <c r="A24" s="8"/>
      <c r="B24" s="2" t="s">
        <v>26</v>
      </c>
      <c r="C24" s="3">
        <v>0</v>
      </c>
      <c r="D24" s="15"/>
      <c r="E24" s="15"/>
      <c r="F24" s="15"/>
      <c r="G24" s="10"/>
    </row>
    <row r="25" spans="1:8" x14ac:dyDescent="0.25">
      <c r="A25" s="8"/>
      <c r="B25" s="1" t="s">
        <v>27</v>
      </c>
      <c r="C25" s="3">
        <v>1</v>
      </c>
      <c r="D25" s="15" t="s">
        <v>244</v>
      </c>
      <c r="E25" s="15" t="s">
        <v>244</v>
      </c>
      <c r="F25" s="15" t="s">
        <v>244</v>
      </c>
      <c r="G25" s="10"/>
    </row>
    <row r="26" spans="1:8" x14ac:dyDescent="0.25">
      <c r="A26" s="8"/>
      <c r="B26" s="2" t="s">
        <v>28</v>
      </c>
      <c r="C26" s="3">
        <v>1</v>
      </c>
      <c r="D26" s="15" t="s">
        <v>244</v>
      </c>
      <c r="E26" s="15" t="s">
        <v>244</v>
      </c>
      <c r="F26" s="15" t="s">
        <v>244</v>
      </c>
      <c r="G26" s="10"/>
    </row>
    <row r="27" spans="1:8" x14ac:dyDescent="0.25">
      <c r="A27" s="8"/>
      <c r="B27" s="2" t="s">
        <v>29</v>
      </c>
      <c r="C27" s="3">
        <v>0.66035659255998236</v>
      </c>
      <c r="D27" s="15" t="s">
        <v>244</v>
      </c>
      <c r="E27" s="15" t="s">
        <v>244</v>
      </c>
      <c r="F27" s="15" t="s">
        <v>244</v>
      </c>
      <c r="G27" s="10"/>
    </row>
    <row r="28" spans="1:8" x14ac:dyDescent="0.25">
      <c r="A28" s="8"/>
      <c r="B28" s="2" t="s">
        <v>30</v>
      </c>
      <c r="C28" s="3">
        <v>1</v>
      </c>
      <c r="D28" s="15" t="s">
        <v>244</v>
      </c>
      <c r="E28" s="15" t="s">
        <v>244</v>
      </c>
      <c r="F28" s="15" t="s">
        <v>244</v>
      </c>
      <c r="G28" s="10"/>
    </row>
    <row r="29" spans="1:8" x14ac:dyDescent="0.25">
      <c r="A29" s="8"/>
      <c r="B29" s="2" t="s">
        <v>31</v>
      </c>
      <c r="C29" s="3">
        <v>1</v>
      </c>
      <c r="D29" s="15" t="s">
        <v>244</v>
      </c>
      <c r="E29" s="15" t="s">
        <v>244</v>
      </c>
      <c r="F29" s="15" t="s">
        <v>244</v>
      </c>
      <c r="G29" s="10"/>
    </row>
    <row r="30" spans="1:8" x14ac:dyDescent="0.25">
      <c r="A30" s="8"/>
      <c r="B30" s="2" t="s">
        <v>32</v>
      </c>
      <c r="C30" s="3">
        <v>0</v>
      </c>
      <c r="D30" s="15"/>
      <c r="E30" s="15"/>
      <c r="F30" s="15"/>
      <c r="G30" s="10"/>
    </row>
    <row r="31" spans="1:8" x14ac:dyDescent="0.25">
      <c r="A31" s="8"/>
      <c r="B31" s="9" t="s">
        <v>33</v>
      </c>
      <c r="C31" s="3">
        <v>0</v>
      </c>
      <c r="D31" s="15"/>
      <c r="E31" s="15"/>
      <c r="F31" s="15"/>
      <c r="G31" s="10"/>
    </row>
    <row r="32" spans="1:8" x14ac:dyDescent="0.25">
      <c r="A32" s="8"/>
      <c r="B32" s="1" t="s">
        <v>34</v>
      </c>
      <c r="C32" s="3">
        <v>1</v>
      </c>
      <c r="D32" s="15" t="s">
        <v>244</v>
      </c>
      <c r="E32" s="15" t="s">
        <v>244</v>
      </c>
      <c r="F32" s="15" t="s">
        <v>244</v>
      </c>
      <c r="G32" s="10"/>
    </row>
    <row r="33" spans="1:7" x14ac:dyDescent="0.25">
      <c r="A33" s="8"/>
      <c r="B33" s="1" t="s">
        <v>35</v>
      </c>
      <c r="C33" s="3">
        <v>0</v>
      </c>
      <c r="D33" s="15"/>
      <c r="E33" s="15"/>
      <c r="F33" s="15"/>
      <c r="G33" s="10"/>
    </row>
    <row r="34" spans="1:7" x14ac:dyDescent="0.25">
      <c r="A34" s="8"/>
      <c r="B34" s="1" t="s">
        <v>36</v>
      </c>
      <c r="C34" s="3">
        <v>0.1</v>
      </c>
      <c r="D34" s="15" t="s">
        <v>244</v>
      </c>
      <c r="E34" s="15" t="s">
        <v>244</v>
      </c>
      <c r="F34" s="15" t="s">
        <v>244</v>
      </c>
      <c r="G34" s="10"/>
    </row>
    <row r="35" spans="1:7" ht="17.25" x14ac:dyDescent="0.25">
      <c r="A35" s="4" t="s">
        <v>22</v>
      </c>
      <c r="B35" s="5"/>
      <c r="C35" s="24">
        <f>COUNTIF(C21:C34,"&gt; 0,01%")</f>
        <v>9</v>
      </c>
      <c r="D35" s="24">
        <f>COUNTA(D21:D34)</f>
        <v>8</v>
      </c>
      <c r="E35" s="24">
        <f>COUNTA(E21:E34)</f>
        <v>8</v>
      </c>
      <c r="F35" s="24">
        <f>COUNTA(F21:F34)</f>
        <v>8</v>
      </c>
      <c r="G35" s="24">
        <f>COUNTA(G21:G34)</f>
        <v>0</v>
      </c>
    </row>
    <row r="36" spans="1:7" x14ac:dyDescent="0.25">
      <c r="A36" s="1" t="s">
        <v>37</v>
      </c>
      <c r="B36" s="2" t="s">
        <v>38</v>
      </c>
      <c r="C36" s="3">
        <v>1</v>
      </c>
      <c r="D36" s="15" t="s">
        <v>244</v>
      </c>
      <c r="E36" s="15" t="s">
        <v>244</v>
      </c>
      <c r="F36" s="15" t="s">
        <v>244</v>
      </c>
      <c r="G36" s="10"/>
    </row>
    <row r="37" spans="1:7" x14ac:dyDescent="0.25">
      <c r="A37" s="1"/>
      <c r="B37" s="2" t="s">
        <v>39</v>
      </c>
      <c r="C37" s="3">
        <v>1</v>
      </c>
      <c r="D37" s="15" t="s">
        <v>244</v>
      </c>
      <c r="E37" s="15" t="s">
        <v>244</v>
      </c>
      <c r="F37" s="15" t="s">
        <v>244</v>
      </c>
      <c r="G37" s="10"/>
    </row>
    <row r="38" spans="1:7" x14ac:dyDescent="0.25">
      <c r="A38" s="1"/>
      <c r="B38" s="2" t="s">
        <v>40</v>
      </c>
      <c r="C38" s="3">
        <v>1</v>
      </c>
      <c r="D38" s="15" t="s">
        <v>244</v>
      </c>
      <c r="E38" s="15" t="s">
        <v>244</v>
      </c>
      <c r="F38" s="15" t="s">
        <v>244</v>
      </c>
      <c r="G38" s="10"/>
    </row>
    <row r="39" spans="1:7" x14ac:dyDescent="0.25">
      <c r="A39" s="1"/>
      <c r="B39" s="2" t="s">
        <v>41</v>
      </c>
      <c r="C39" s="3">
        <v>1</v>
      </c>
      <c r="D39" s="15" t="s">
        <v>244</v>
      </c>
      <c r="E39" s="15" t="s">
        <v>244</v>
      </c>
      <c r="F39" s="15" t="s">
        <v>244</v>
      </c>
      <c r="G39" s="10"/>
    </row>
    <row r="40" spans="1:7" x14ac:dyDescent="0.25">
      <c r="A40" s="1"/>
      <c r="B40" s="2" t="s">
        <v>42</v>
      </c>
      <c r="C40" s="3">
        <v>1</v>
      </c>
      <c r="D40" s="15" t="s">
        <v>244</v>
      </c>
      <c r="E40" s="15" t="s">
        <v>244</v>
      </c>
      <c r="F40" s="15" t="s">
        <v>244</v>
      </c>
      <c r="G40" s="10"/>
    </row>
    <row r="41" spans="1:7" x14ac:dyDescent="0.25">
      <c r="A41" s="1"/>
      <c r="B41" s="1" t="s">
        <v>43</v>
      </c>
      <c r="C41" s="3">
        <v>0</v>
      </c>
      <c r="D41" s="15"/>
      <c r="E41" s="15"/>
      <c r="F41" s="15"/>
      <c r="G41" s="10"/>
    </row>
    <row r="42" spans="1:7" x14ac:dyDescent="0.25">
      <c r="A42" s="1"/>
      <c r="B42" s="1" t="s">
        <v>44</v>
      </c>
      <c r="C42" s="3">
        <v>0</v>
      </c>
      <c r="D42" s="15"/>
      <c r="E42" s="15"/>
      <c r="F42" s="15"/>
      <c r="G42" s="10"/>
    </row>
    <row r="43" spans="1:7" x14ac:dyDescent="0.25">
      <c r="A43" s="1"/>
      <c r="B43" s="1" t="s">
        <v>45</v>
      </c>
      <c r="C43" s="3">
        <v>0.93333333333333335</v>
      </c>
      <c r="D43" s="15" t="s">
        <v>244</v>
      </c>
      <c r="E43" s="15" t="s">
        <v>244</v>
      </c>
      <c r="F43" s="15" t="s">
        <v>244</v>
      </c>
      <c r="G43" s="10"/>
    </row>
    <row r="44" spans="1:7" ht="17.25" x14ac:dyDescent="0.25">
      <c r="A44" s="6" t="s">
        <v>46</v>
      </c>
      <c r="B44" s="7"/>
      <c r="C44" s="25">
        <f>COUNTIF(C36:C43,"&gt; 0,01%")</f>
        <v>6</v>
      </c>
      <c r="D44" s="25">
        <f>COUNTA(D36:D43)</f>
        <v>6</v>
      </c>
      <c r="E44" s="25">
        <f>COUNTA(E36:E43)</f>
        <v>6</v>
      </c>
      <c r="F44" s="25">
        <f>COUNTA(F36:F43)</f>
        <v>6</v>
      </c>
      <c r="G44" s="25">
        <f>COUNTA(G36:G43)</f>
        <v>0</v>
      </c>
    </row>
    <row r="45" spans="1:7" x14ac:dyDescent="0.25">
      <c r="A45" s="1" t="s">
        <v>47</v>
      </c>
      <c r="B45" s="2" t="s">
        <v>48</v>
      </c>
      <c r="C45" s="3">
        <v>1</v>
      </c>
      <c r="D45" s="15" t="s">
        <v>244</v>
      </c>
      <c r="E45" s="15" t="s">
        <v>244</v>
      </c>
      <c r="F45" s="15" t="s">
        <v>244</v>
      </c>
      <c r="G45" s="10"/>
    </row>
    <row r="46" spans="1:7" x14ac:dyDescent="0.25">
      <c r="A46" s="8"/>
      <c r="B46" s="2" t="s">
        <v>49</v>
      </c>
      <c r="C46" s="3">
        <v>1</v>
      </c>
      <c r="D46" s="15" t="s">
        <v>244</v>
      </c>
      <c r="E46" s="15" t="s">
        <v>244</v>
      </c>
      <c r="F46" s="15" t="s">
        <v>244</v>
      </c>
      <c r="G46" s="10"/>
    </row>
    <row r="47" spans="1:7" ht="17.25" x14ac:dyDescent="0.25">
      <c r="A47" s="4" t="s">
        <v>47</v>
      </c>
      <c r="B47" s="5"/>
      <c r="C47" s="24">
        <f>COUNTIF(C45:C46,"&gt; 0,01%")</f>
        <v>2</v>
      </c>
      <c r="D47" s="24">
        <f>COUNTA(D45:D46)</f>
        <v>2</v>
      </c>
      <c r="E47" s="24">
        <f t="shared" ref="E47:G47" si="2">COUNTA(E45:E46)</f>
        <v>2</v>
      </c>
      <c r="F47" s="24">
        <f t="shared" si="2"/>
        <v>2</v>
      </c>
      <c r="G47" s="24">
        <f t="shared" si="2"/>
        <v>0</v>
      </c>
    </row>
    <row r="48" spans="1:7" x14ac:dyDescent="0.25">
      <c r="A48" s="1" t="s">
        <v>50</v>
      </c>
      <c r="B48" s="2" t="s">
        <v>51</v>
      </c>
      <c r="C48" s="3">
        <v>0.88185813524880674</v>
      </c>
      <c r="D48" s="15" t="s">
        <v>244</v>
      </c>
      <c r="E48" s="15" t="s">
        <v>244</v>
      </c>
      <c r="F48" s="15" t="s">
        <v>244</v>
      </c>
      <c r="G48" s="10"/>
    </row>
    <row r="49" spans="1:8" x14ac:dyDescent="0.25">
      <c r="A49" s="1"/>
      <c r="B49" s="2" t="s">
        <v>52</v>
      </c>
      <c r="C49" s="3">
        <v>1</v>
      </c>
      <c r="D49" s="15" t="s">
        <v>244</v>
      </c>
      <c r="E49" s="15" t="s">
        <v>244</v>
      </c>
      <c r="F49" s="15" t="s">
        <v>244</v>
      </c>
      <c r="G49" s="10"/>
    </row>
    <row r="50" spans="1:8" ht="17.25" x14ac:dyDescent="0.25">
      <c r="A50" s="6" t="s">
        <v>50</v>
      </c>
      <c r="B50" s="7"/>
      <c r="C50" s="25">
        <f>COUNTIF(C48:C49,"&gt; 0,01%")</f>
        <v>2</v>
      </c>
      <c r="D50" s="25">
        <f>COUNTA(D48:D49)</f>
        <v>2</v>
      </c>
      <c r="E50" s="25">
        <f t="shared" ref="E50:G50" si="3">COUNTA(E48:E49)</f>
        <v>2</v>
      </c>
      <c r="F50" s="25">
        <f t="shared" si="3"/>
        <v>2</v>
      </c>
      <c r="G50" s="25">
        <f t="shared" si="3"/>
        <v>0</v>
      </c>
    </row>
    <row r="51" spans="1:8" x14ac:dyDescent="0.25">
      <c r="A51" s="1" t="s">
        <v>53</v>
      </c>
      <c r="B51" s="2" t="s">
        <v>54</v>
      </c>
      <c r="C51" s="31">
        <v>1</v>
      </c>
      <c r="D51" s="15"/>
      <c r="E51" s="15"/>
      <c r="F51" s="15"/>
      <c r="G51" s="10"/>
    </row>
    <row r="52" spans="1:8" x14ac:dyDescent="0.25">
      <c r="A52" s="8"/>
      <c r="B52" s="2" t="s">
        <v>55</v>
      </c>
      <c r="C52" s="31">
        <v>1</v>
      </c>
      <c r="D52" s="15"/>
      <c r="E52" s="15"/>
      <c r="F52" s="15"/>
      <c r="G52" s="10"/>
    </row>
    <row r="53" spans="1:8" x14ac:dyDescent="0.25">
      <c r="A53" s="8"/>
      <c r="B53" s="2" t="s">
        <v>56</v>
      </c>
      <c r="C53" s="31">
        <v>1</v>
      </c>
      <c r="D53" s="15"/>
      <c r="E53" s="15"/>
      <c r="F53" s="15"/>
      <c r="G53" s="10"/>
    </row>
    <row r="54" spans="1:8" x14ac:dyDescent="0.25">
      <c r="A54" s="8"/>
      <c r="B54" s="2" t="s">
        <v>57</v>
      </c>
      <c r="C54" s="31">
        <v>1</v>
      </c>
      <c r="D54" s="15"/>
      <c r="E54" s="15"/>
      <c r="F54" s="15"/>
      <c r="G54" s="10"/>
    </row>
    <row r="55" spans="1:8" ht="17.25" x14ac:dyDescent="0.25">
      <c r="A55" s="4" t="s">
        <v>58</v>
      </c>
      <c r="B55" s="5"/>
      <c r="C55" s="24">
        <f>COUNTIF(C51:C54,"&gt; 0,01%")</f>
        <v>4</v>
      </c>
      <c r="D55" s="24">
        <f>COUNTA(D51:D54)</f>
        <v>0</v>
      </c>
      <c r="E55" s="24">
        <f t="shared" ref="E55:G55" si="4">COUNTA(E51:E54)</f>
        <v>0</v>
      </c>
      <c r="F55" s="24">
        <f t="shared" si="4"/>
        <v>0</v>
      </c>
      <c r="G55" s="24">
        <f t="shared" si="4"/>
        <v>0</v>
      </c>
    </row>
    <row r="56" spans="1:8" x14ac:dyDescent="0.25">
      <c r="A56" s="1" t="s">
        <v>59</v>
      </c>
      <c r="B56" s="2" t="s">
        <v>60</v>
      </c>
      <c r="C56" s="3">
        <v>1</v>
      </c>
      <c r="D56" s="15"/>
      <c r="E56" s="15"/>
      <c r="F56" s="15"/>
      <c r="G56" s="10"/>
    </row>
    <row r="57" spans="1:8" ht="17.25" x14ac:dyDescent="0.25">
      <c r="A57" s="6" t="s">
        <v>59</v>
      </c>
      <c r="B57" s="7"/>
      <c r="C57" s="25">
        <f>COUNTIF(C56,"&gt; 0,01%")</f>
        <v>1</v>
      </c>
      <c r="D57" s="25">
        <f>COUNTA(D56)</f>
        <v>0</v>
      </c>
      <c r="E57" s="25">
        <f t="shared" ref="E57:G57" si="5">COUNTA(E56)</f>
        <v>0</v>
      </c>
      <c r="F57" s="25">
        <f t="shared" si="5"/>
        <v>0</v>
      </c>
      <c r="G57" s="25">
        <f t="shared" si="5"/>
        <v>0</v>
      </c>
    </row>
    <row r="58" spans="1:8" x14ac:dyDescent="0.25">
      <c r="A58" s="1" t="s">
        <v>61</v>
      </c>
      <c r="B58" s="2" t="s">
        <v>62</v>
      </c>
      <c r="C58" s="3">
        <v>1</v>
      </c>
      <c r="D58" s="15" t="s">
        <v>244</v>
      </c>
      <c r="E58" s="15" t="s">
        <v>244</v>
      </c>
      <c r="F58" s="15" t="s">
        <v>244</v>
      </c>
      <c r="G58" s="10"/>
      <c r="H58" t="s">
        <v>270</v>
      </c>
    </row>
    <row r="59" spans="1:8" x14ac:dyDescent="0.25">
      <c r="A59" s="8"/>
      <c r="B59" s="2" t="s">
        <v>63</v>
      </c>
      <c r="C59" s="3">
        <v>1</v>
      </c>
      <c r="D59" s="15"/>
      <c r="E59" s="15"/>
      <c r="F59" s="15"/>
      <c r="G59" s="10"/>
    </row>
    <row r="60" spans="1:8" x14ac:dyDescent="0.25">
      <c r="A60" s="8"/>
      <c r="B60" s="2" t="s">
        <v>64</v>
      </c>
      <c r="C60" s="3">
        <v>1</v>
      </c>
      <c r="D60" s="15" t="s">
        <v>244</v>
      </c>
      <c r="E60" s="15" t="s">
        <v>244</v>
      </c>
      <c r="F60" s="15" t="s">
        <v>244</v>
      </c>
      <c r="G60" s="10"/>
      <c r="H60" t="s">
        <v>270</v>
      </c>
    </row>
    <row r="61" spans="1:8" ht="17.25" x14ac:dyDescent="0.25">
      <c r="A61" s="4" t="s">
        <v>65</v>
      </c>
      <c r="B61" s="5"/>
      <c r="C61" s="24">
        <f>COUNTIF(C58:C60,"&gt; 0,01%")</f>
        <v>3</v>
      </c>
      <c r="D61" s="24">
        <f>COUNTA(D58:D60)</f>
        <v>2</v>
      </c>
      <c r="E61" s="24">
        <f t="shared" ref="E61:G61" si="6">COUNTA(E58:E60)</f>
        <v>2</v>
      </c>
      <c r="F61" s="24">
        <f t="shared" si="6"/>
        <v>2</v>
      </c>
      <c r="G61" s="24">
        <f t="shared" si="6"/>
        <v>0</v>
      </c>
    </row>
    <row r="62" spans="1:8" x14ac:dyDescent="0.25">
      <c r="A62" s="1" t="s">
        <v>66</v>
      </c>
      <c r="B62" s="2" t="s">
        <v>67</v>
      </c>
      <c r="C62" s="3">
        <v>0.98615488518685268</v>
      </c>
      <c r="D62" s="15" t="s">
        <v>244</v>
      </c>
      <c r="E62" s="15" t="s">
        <v>244</v>
      </c>
      <c r="F62" s="15" t="s">
        <v>244</v>
      </c>
      <c r="G62" s="10"/>
    </row>
    <row r="63" spans="1:8" x14ac:dyDescent="0.25">
      <c r="A63" s="8"/>
      <c r="B63" s="2" t="s">
        <v>68</v>
      </c>
      <c r="C63" s="3">
        <v>1</v>
      </c>
      <c r="D63" s="15" t="s">
        <v>244</v>
      </c>
      <c r="E63" s="15" t="s">
        <v>244</v>
      </c>
      <c r="F63" s="15" t="s">
        <v>244</v>
      </c>
      <c r="G63" s="10"/>
    </row>
    <row r="64" spans="1:8" x14ac:dyDescent="0.25">
      <c r="A64" s="8"/>
      <c r="B64" s="2" t="s">
        <v>69</v>
      </c>
      <c r="C64" s="3">
        <v>0</v>
      </c>
      <c r="D64" s="15"/>
      <c r="E64" s="15"/>
      <c r="F64" s="15"/>
      <c r="G64" s="10"/>
    </row>
    <row r="65" spans="1:7" x14ac:dyDescent="0.25">
      <c r="A65" s="8"/>
      <c r="B65" s="1" t="s">
        <v>70</v>
      </c>
      <c r="C65" s="3">
        <v>1</v>
      </c>
      <c r="D65" s="15" t="s">
        <v>244</v>
      </c>
      <c r="E65" s="15" t="s">
        <v>244</v>
      </c>
      <c r="F65" s="15" t="s">
        <v>244</v>
      </c>
      <c r="G65" s="10"/>
    </row>
    <row r="66" spans="1:7" ht="17.25" x14ac:dyDescent="0.25">
      <c r="A66" s="6" t="s">
        <v>71</v>
      </c>
      <c r="B66" s="7"/>
      <c r="C66" s="25">
        <f>COUNTIF(C62:C65,"&gt; 0,01%")</f>
        <v>3</v>
      </c>
      <c r="D66" s="25">
        <f>COUNTA(D62:D65)</f>
        <v>3</v>
      </c>
      <c r="E66" s="25">
        <f t="shared" ref="E66:G66" si="7">COUNTA(E62:E65)</f>
        <v>3</v>
      </c>
      <c r="F66" s="25">
        <f t="shared" si="7"/>
        <v>3</v>
      </c>
      <c r="G66" s="25">
        <f t="shared" si="7"/>
        <v>0</v>
      </c>
    </row>
    <row r="67" spans="1:7" x14ac:dyDescent="0.25">
      <c r="A67" s="1" t="s">
        <v>72</v>
      </c>
      <c r="B67" s="2" t="s">
        <v>73</v>
      </c>
      <c r="C67" s="3">
        <v>0.2</v>
      </c>
      <c r="D67" s="15" t="s">
        <v>244</v>
      </c>
      <c r="E67" s="15" t="s">
        <v>244</v>
      </c>
      <c r="F67" s="15" t="s">
        <v>244</v>
      </c>
      <c r="G67" s="10"/>
    </row>
    <row r="68" spans="1:7" ht="17.25" x14ac:dyDescent="0.25">
      <c r="A68" s="4" t="s">
        <v>72</v>
      </c>
      <c r="B68" s="5"/>
      <c r="C68" s="24">
        <f>COUNTIF(C67,"&gt; 0,01%")</f>
        <v>1</v>
      </c>
      <c r="D68" s="24">
        <f>COUNTA(D67)</f>
        <v>1</v>
      </c>
      <c r="E68" s="24">
        <f t="shared" ref="E68:G68" si="8">COUNTA(E67)</f>
        <v>1</v>
      </c>
      <c r="F68" s="24">
        <f t="shared" si="8"/>
        <v>1</v>
      </c>
      <c r="G68" s="24">
        <f t="shared" si="8"/>
        <v>0</v>
      </c>
    </row>
    <row r="69" spans="1:7" x14ac:dyDescent="0.25">
      <c r="A69" s="1" t="s">
        <v>74</v>
      </c>
      <c r="B69" s="2" t="s">
        <v>75</v>
      </c>
      <c r="C69" s="3">
        <v>0</v>
      </c>
      <c r="D69" s="15"/>
      <c r="E69" s="15"/>
      <c r="F69" s="15"/>
      <c r="G69" s="10"/>
    </row>
    <row r="70" spans="1:7" x14ac:dyDescent="0.25">
      <c r="A70" s="1"/>
      <c r="B70" s="2" t="s">
        <v>76</v>
      </c>
      <c r="C70" s="3">
        <v>0</v>
      </c>
      <c r="D70" s="15"/>
      <c r="E70" s="15"/>
      <c r="F70" s="15"/>
      <c r="G70" s="10"/>
    </row>
    <row r="71" spans="1:7" x14ac:dyDescent="0.25">
      <c r="A71" s="1"/>
      <c r="B71" s="2" t="s">
        <v>77</v>
      </c>
      <c r="C71" s="3">
        <v>0</v>
      </c>
      <c r="D71" s="15"/>
      <c r="E71" s="15"/>
      <c r="F71" s="15"/>
      <c r="G71" s="10"/>
    </row>
    <row r="72" spans="1:7" x14ac:dyDescent="0.25">
      <c r="A72" s="1"/>
      <c r="B72" s="2" t="s">
        <v>78</v>
      </c>
      <c r="C72" s="3">
        <v>0</v>
      </c>
      <c r="D72" s="15"/>
      <c r="E72" s="15"/>
      <c r="F72" s="15"/>
      <c r="G72" s="10"/>
    </row>
    <row r="73" spans="1:7" x14ac:dyDescent="0.25">
      <c r="A73" s="1"/>
      <c r="B73" s="1" t="s">
        <v>79</v>
      </c>
      <c r="C73" s="3">
        <v>0</v>
      </c>
      <c r="D73" s="15"/>
      <c r="E73" s="15"/>
      <c r="F73" s="15"/>
      <c r="G73" s="10"/>
    </row>
    <row r="74" spans="1:7" x14ac:dyDescent="0.25">
      <c r="A74" s="1"/>
      <c r="B74" s="2" t="s">
        <v>80</v>
      </c>
      <c r="C74" s="3">
        <v>0</v>
      </c>
      <c r="D74" s="15"/>
      <c r="E74" s="15"/>
      <c r="F74" s="15"/>
      <c r="G74" s="10"/>
    </row>
    <row r="75" spans="1:7" x14ac:dyDescent="0.25">
      <c r="A75" s="1"/>
      <c r="B75" s="2" t="s">
        <v>81</v>
      </c>
      <c r="C75" s="3">
        <v>0</v>
      </c>
      <c r="D75" s="15"/>
      <c r="E75" s="15"/>
      <c r="F75" s="15"/>
      <c r="G75" s="10"/>
    </row>
    <row r="76" spans="1:7" x14ac:dyDescent="0.25">
      <c r="A76" s="1"/>
      <c r="B76" s="2" t="s">
        <v>82</v>
      </c>
      <c r="C76" s="3" t="e">
        <v>#DIV/0!</v>
      </c>
      <c r="D76" s="15"/>
      <c r="E76" s="15"/>
      <c r="F76" s="15"/>
      <c r="G76" s="10"/>
    </row>
    <row r="77" spans="1:7" x14ac:dyDescent="0.25">
      <c r="A77" s="1"/>
      <c r="B77" s="2" t="s">
        <v>83</v>
      </c>
      <c r="C77" s="3" t="e">
        <v>#DIV/0!</v>
      </c>
      <c r="D77" s="15"/>
      <c r="E77" s="15"/>
      <c r="F77" s="15"/>
      <c r="G77" s="10"/>
    </row>
    <row r="78" spans="1:7" ht="17.25" x14ac:dyDescent="0.25">
      <c r="A78" s="6" t="s">
        <v>84</v>
      </c>
      <c r="B78" s="7"/>
      <c r="C78" s="25">
        <f>COUNTIF(C69:C77,"&gt; 0,01%")</f>
        <v>0</v>
      </c>
      <c r="D78" s="25">
        <f>COUNTA(D69:D77)</f>
        <v>0</v>
      </c>
      <c r="E78" s="25">
        <f t="shared" ref="E78:G78" si="9">COUNTA(E69:E77)</f>
        <v>0</v>
      </c>
      <c r="F78" s="25">
        <f t="shared" si="9"/>
        <v>0</v>
      </c>
      <c r="G78" s="25">
        <f t="shared" si="9"/>
        <v>0</v>
      </c>
    </row>
    <row r="79" spans="1:7" x14ac:dyDescent="0.25">
      <c r="A79" s="1" t="s">
        <v>85</v>
      </c>
      <c r="B79" s="2" t="s">
        <v>86</v>
      </c>
      <c r="C79" s="3">
        <v>1</v>
      </c>
      <c r="D79" s="15" t="s">
        <v>244</v>
      </c>
      <c r="E79" s="15" t="s">
        <v>244</v>
      </c>
      <c r="F79" s="15" t="s">
        <v>244</v>
      </c>
      <c r="G79" s="10"/>
    </row>
    <row r="80" spans="1:7" x14ac:dyDescent="0.25">
      <c r="A80" s="1"/>
      <c r="B80" s="1" t="s">
        <v>87</v>
      </c>
      <c r="C80" s="3">
        <v>1</v>
      </c>
      <c r="D80" s="15" t="s">
        <v>244</v>
      </c>
      <c r="E80" s="15" t="s">
        <v>244</v>
      </c>
      <c r="F80" s="15" t="s">
        <v>244</v>
      </c>
      <c r="G80" s="10"/>
    </row>
    <row r="81" spans="1:8" x14ac:dyDescent="0.25">
      <c r="A81" s="8"/>
      <c r="B81" s="2" t="s">
        <v>88</v>
      </c>
      <c r="C81" s="3">
        <v>1</v>
      </c>
      <c r="D81" s="15" t="s">
        <v>244</v>
      </c>
      <c r="E81" s="15" t="s">
        <v>244</v>
      </c>
      <c r="F81" s="15" t="s">
        <v>244</v>
      </c>
      <c r="G81" s="10"/>
    </row>
    <row r="82" spans="1:8" x14ac:dyDescent="0.25">
      <c r="A82" s="8"/>
      <c r="B82" s="2" t="s">
        <v>89</v>
      </c>
      <c r="C82" s="3">
        <v>1</v>
      </c>
      <c r="D82" s="15" t="s">
        <v>244</v>
      </c>
      <c r="E82" s="15" t="s">
        <v>244</v>
      </c>
      <c r="F82" s="15" t="s">
        <v>244</v>
      </c>
      <c r="G82" s="10"/>
    </row>
    <row r="83" spans="1:8" x14ac:dyDescent="0.25">
      <c r="B83" s="2" t="s">
        <v>90</v>
      </c>
      <c r="C83" s="3">
        <v>1</v>
      </c>
      <c r="D83" s="15" t="s">
        <v>244</v>
      </c>
      <c r="E83" s="15" t="s">
        <v>244</v>
      </c>
      <c r="F83" s="15" t="s">
        <v>244</v>
      </c>
      <c r="G83" s="10"/>
    </row>
    <row r="84" spans="1:8" ht="17.25" x14ac:dyDescent="0.25">
      <c r="A84" s="4" t="s">
        <v>91</v>
      </c>
      <c r="B84" s="5"/>
      <c r="C84" s="24">
        <f>COUNTIF(C79:C83,"&gt; 0,01%")</f>
        <v>5</v>
      </c>
      <c r="D84" s="24">
        <f>COUNTA(D79:D83)</f>
        <v>5</v>
      </c>
      <c r="E84" s="24">
        <f t="shared" ref="E84:G84" si="10">COUNTA(E79:E83)</f>
        <v>5</v>
      </c>
      <c r="F84" s="24">
        <f t="shared" si="10"/>
        <v>5</v>
      </c>
      <c r="G84" s="24">
        <f t="shared" si="10"/>
        <v>0</v>
      </c>
    </row>
    <row r="85" spans="1:8" x14ac:dyDescent="0.25">
      <c r="A85" s="1" t="s">
        <v>272</v>
      </c>
      <c r="B85" s="2" t="s">
        <v>273</v>
      </c>
      <c r="C85" s="31">
        <v>1</v>
      </c>
      <c r="D85" s="15"/>
      <c r="E85" s="15"/>
      <c r="F85" s="15"/>
      <c r="G85" s="10"/>
      <c r="H85" t="s">
        <v>274</v>
      </c>
    </row>
    <row r="86" spans="1:8" ht="17.25" x14ac:dyDescent="0.25">
      <c r="A86" s="6" t="s">
        <v>92</v>
      </c>
      <c r="B86" s="7"/>
      <c r="C86" s="25">
        <f>COUNTIF(C85,"&gt; 0,01%")</f>
        <v>1</v>
      </c>
      <c r="D86" s="25">
        <f>COUNTA(D85)</f>
        <v>0</v>
      </c>
      <c r="E86" s="25">
        <f t="shared" ref="E86:G86" si="11">COUNTA(E85)</f>
        <v>0</v>
      </c>
      <c r="F86" s="25">
        <f t="shared" si="11"/>
        <v>0</v>
      </c>
      <c r="G86" s="25">
        <f t="shared" si="11"/>
        <v>0</v>
      </c>
    </row>
    <row r="87" spans="1:8" x14ac:dyDescent="0.25">
      <c r="A87" s="1" t="s">
        <v>93</v>
      </c>
      <c r="B87" s="2" t="s">
        <v>94</v>
      </c>
      <c r="C87" s="3">
        <v>0</v>
      </c>
      <c r="D87" s="15"/>
      <c r="E87" s="15"/>
      <c r="F87" s="15"/>
      <c r="G87" s="10"/>
    </row>
    <row r="88" spans="1:8" x14ac:dyDescent="0.25">
      <c r="A88" s="1"/>
      <c r="B88" s="1" t="s">
        <v>95</v>
      </c>
      <c r="C88" s="3">
        <v>0</v>
      </c>
      <c r="D88" s="15"/>
      <c r="E88" s="15"/>
      <c r="F88" s="15"/>
      <c r="G88" s="10"/>
    </row>
    <row r="89" spans="1:8" x14ac:dyDescent="0.25">
      <c r="A89" s="1"/>
      <c r="B89" s="2" t="s">
        <v>96</v>
      </c>
      <c r="C89" s="3">
        <v>0</v>
      </c>
      <c r="D89" s="15"/>
      <c r="E89" s="15"/>
      <c r="F89" s="15"/>
      <c r="G89" s="10"/>
    </row>
    <row r="90" spans="1:8" x14ac:dyDescent="0.25">
      <c r="A90" s="8"/>
      <c r="B90" s="2" t="s">
        <v>97</v>
      </c>
      <c r="C90" s="3">
        <v>0</v>
      </c>
      <c r="D90" s="15"/>
      <c r="E90" s="15"/>
      <c r="F90" s="15"/>
      <c r="G90" s="10"/>
    </row>
    <row r="91" spans="1:8" x14ac:dyDescent="0.25">
      <c r="A91" s="8"/>
      <c r="B91" s="2" t="s">
        <v>98</v>
      </c>
      <c r="C91" s="3">
        <v>0</v>
      </c>
      <c r="D91" s="15"/>
      <c r="E91" s="15"/>
      <c r="F91" s="15"/>
      <c r="G91" s="10"/>
    </row>
    <row r="92" spans="1:8" x14ac:dyDescent="0.25">
      <c r="A92" s="8"/>
      <c r="B92" s="2" t="s">
        <v>99</v>
      </c>
      <c r="C92" s="3">
        <v>0</v>
      </c>
      <c r="D92" s="15"/>
      <c r="E92" s="15"/>
      <c r="F92" s="15"/>
      <c r="G92" s="10"/>
    </row>
    <row r="93" spans="1:8" x14ac:dyDescent="0.25">
      <c r="A93" s="8"/>
      <c r="B93" s="2" t="s">
        <v>100</v>
      </c>
      <c r="C93" s="3">
        <v>0</v>
      </c>
      <c r="D93" s="15"/>
      <c r="E93" s="15"/>
      <c r="F93" s="15"/>
      <c r="G93" s="10"/>
    </row>
    <row r="94" spans="1:8" ht="17.25" x14ac:dyDescent="0.25">
      <c r="A94" s="4" t="s">
        <v>101</v>
      </c>
      <c r="B94" s="5"/>
      <c r="C94" s="24">
        <f>COUNTIF(C87:C93,"&gt; 0,01%")</f>
        <v>0</v>
      </c>
      <c r="D94" s="24">
        <f>COUNTA(D87:D93)</f>
        <v>0</v>
      </c>
      <c r="E94" s="24">
        <f t="shared" ref="E94:G94" si="12">COUNTA(E87:E93)</f>
        <v>0</v>
      </c>
      <c r="F94" s="24">
        <f t="shared" si="12"/>
        <v>0</v>
      </c>
      <c r="G94" s="24">
        <f t="shared" si="12"/>
        <v>0</v>
      </c>
    </row>
    <row r="95" spans="1:8" x14ac:dyDescent="0.25">
      <c r="A95" s="1" t="s">
        <v>102</v>
      </c>
      <c r="B95" s="2" t="s">
        <v>103</v>
      </c>
      <c r="C95" s="3">
        <v>1</v>
      </c>
      <c r="D95" s="15" t="s">
        <v>244</v>
      </c>
      <c r="E95" s="15" t="s">
        <v>244</v>
      </c>
      <c r="F95" s="15" t="s">
        <v>244</v>
      </c>
      <c r="G95" s="10"/>
      <c r="H95" t="s">
        <v>269</v>
      </c>
    </row>
    <row r="96" spans="1:8" x14ac:dyDescent="0.25">
      <c r="A96" s="1"/>
      <c r="B96" s="2" t="s">
        <v>104</v>
      </c>
      <c r="C96" s="3">
        <v>1</v>
      </c>
      <c r="D96" s="15" t="s">
        <v>244</v>
      </c>
      <c r="E96" s="15" t="s">
        <v>244</v>
      </c>
      <c r="F96" s="15" t="s">
        <v>244</v>
      </c>
      <c r="G96" s="10"/>
      <c r="H96" t="s">
        <v>269</v>
      </c>
    </row>
    <row r="97" spans="1:8" x14ac:dyDescent="0.25">
      <c r="A97" s="1"/>
      <c r="B97" s="2" t="s">
        <v>105</v>
      </c>
      <c r="C97" s="3">
        <v>1</v>
      </c>
      <c r="D97" s="15" t="s">
        <v>244</v>
      </c>
      <c r="E97" s="15" t="s">
        <v>244</v>
      </c>
      <c r="F97" s="15" t="s">
        <v>244</v>
      </c>
      <c r="G97" s="10"/>
      <c r="H97" t="s">
        <v>269</v>
      </c>
    </row>
    <row r="98" spans="1:8" x14ac:dyDescent="0.25">
      <c r="A98" s="1"/>
      <c r="B98" s="2" t="s">
        <v>106</v>
      </c>
      <c r="C98" s="3">
        <v>1</v>
      </c>
      <c r="D98" s="15" t="s">
        <v>244</v>
      </c>
      <c r="E98" s="15" t="s">
        <v>244</v>
      </c>
      <c r="F98" s="15" t="s">
        <v>244</v>
      </c>
      <c r="G98" s="10"/>
      <c r="H98" t="s">
        <v>269</v>
      </c>
    </row>
    <row r="99" spans="1:8" ht="17.25" x14ac:dyDescent="0.25">
      <c r="A99" s="6" t="s">
        <v>107</v>
      </c>
      <c r="B99" s="7"/>
      <c r="C99" s="25">
        <f>COUNTIF(C95:C98,"&gt; 0,01%")</f>
        <v>4</v>
      </c>
      <c r="D99" s="25">
        <f>COUNTA(D95:D98)</f>
        <v>4</v>
      </c>
      <c r="E99" s="25">
        <f t="shared" ref="E99:G99" si="13">COUNTA(E95:E98)</f>
        <v>4</v>
      </c>
      <c r="F99" s="25">
        <f t="shared" si="13"/>
        <v>4</v>
      </c>
      <c r="G99" s="25">
        <f t="shared" si="13"/>
        <v>0</v>
      </c>
    </row>
    <row r="100" spans="1:8" x14ac:dyDescent="0.25">
      <c r="A100" s="1" t="s">
        <v>108</v>
      </c>
      <c r="B100" s="2" t="s">
        <v>109</v>
      </c>
      <c r="C100" s="3">
        <v>1</v>
      </c>
      <c r="D100" s="10" t="s">
        <v>244</v>
      </c>
      <c r="E100" s="10" t="s">
        <v>244</v>
      </c>
      <c r="F100" s="10" t="s">
        <v>244</v>
      </c>
      <c r="G100" s="10"/>
    </row>
    <row r="101" spans="1:8" x14ac:dyDescent="0.25">
      <c r="A101" s="1"/>
      <c r="B101" s="2" t="s">
        <v>110</v>
      </c>
      <c r="C101" s="3">
        <v>1</v>
      </c>
      <c r="D101" s="10" t="s">
        <v>244</v>
      </c>
      <c r="E101" s="10" t="s">
        <v>244</v>
      </c>
      <c r="F101" s="10" t="s">
        <v>244</v>
      </c>
      <c r="G101" s="10"/>
    </row>
    <row r="102" spans="1:8" x14ac:dyDescent="0.25">
      <c r="A102" s="1"/>
      <c r="B102" s="2" t="s">
        <v>111</v>
      </c>
      <c r="C102" s="3">
        <v>1</v>
      </c>
      <c r="D102" s="10" t="s">
        <v>244</v>
      </c>
      <c r="E102" s="10" t="s">
        <v>244</v>
      </c>
      <c r="F102" s="10" t="s">
        <v>244</v>
      </c>
      <c r="G102" s="10"/>
    </row>
    <row r="103" spans="1:8" x14ac:dyDescent="0.25">
      <c r="A103" s="1"/>
      <c r="B103" s="2" t="s">
        <v>112</v>
      </c>
      <c r="C103" s="3">
        <v>1</v>
      </c>
      <c r="D103" s="10" t="s">
        <v>244</v>
      </c>
      <c r="E103" s="10" t="s">
        <v>244</v>
      </c>
      <c r="F103" s="10" t="s">
        <v>244</v>
      </c>
      <c r="G103" s="10"/>
    </row>
    <row r="104" spans="1:8" ht="17.25" x14ac:dyDescent="0.25">
      <c r="A104" s="4" t="s">
        <v>113</v>
      </c>
      <c r="B104" s="5"/>
      <c r="C104" s="24">
        <f>COUNTIF(C100:C103,"&gt; 0,01%")</f>
        <v>4</v>
      </c>
      <c r="D104" s="24">
        <f>COUNTA(D100:D103)</f>
        <v>4</v>
      </c>
      <c r="E104" s="24">
        <f t="shared" ref="E104:G104" si="14">COUNTA(E100:E103)</f>
        <v>4</v>
      </c>
      <c r="F104" s="24">
        <f t="shared" si="14"/>
        <v>4</v>
      </c>
      <c r="G104" s="24">
        <f t="shared" si="14"/>
        <v>0</v>
      </c>
    </row>
    <row r="105" spans="1:8" x14ac:dyDescent="0.25">
      <c r="A105" s="1" t="s">
        <v>114</v>
      </c>
      <c r="B105" s="2" t="s">
        <v>115</v>
      </c>
      <c r="C105" s="3">
        <v>1</v>
      </c>
      <c r="D105" s="15" t="s">
        <v>244</v>
      </c>
      <c r="E105" s="15" t="s">
        <v>244</v>
      </c>
      <c r="F105" s="15" t="s">
        <v>244</v>
      </c>
      <c r="G105" s="10"/>
    </row>
    <row r="106" spans="1:8" x14ac:dyDescent="0.25">
      <c r="A106" s="1"/>
      <c r="B106" s="2" t="s">
        <v>116</v>
      </c>
      <c r="C106" s="3">
        <v>1</v>
      </c>
      <c r="D106" s="15" t="s">
        <v>244</v>
      </c>
      <c r="E106" s="15" t="s">
        <v>244</v>
      </c>
      <c r="F106" s="15" t="s">
        <v>244</v>
      </c>
      <c r="G106" s="10"/>
    </row>
    <row r="107" spans="1:8" x14ac:dyDescent="0.25">
      <c r="A107" s="1"/>
      <c r="B107" s="1" t="s">
        <v>117</v>
      </c>
      <c r="C107" s="3">
        <v>0</v>
      </c>
      <c r="D107" s="15"/>
      <c r="E107" s="15"/>
      <c r="F107" s="15"/>
      <c r="G107" s="10"/>
    </row>
    <row r="108" spans="1:8" x14ac:dyDescent="0.25">
      <c r="A108" s="8"/>
      <c r="B108" s="2" t="s">
        <v>118</v>
      </c>
      <c r="C108" s="3">
        <v>1</v>
      </c>
      <c r="D108" s="15" t="s">
        <v>244</v>
      </c>
      <c r="E108" s="15" t="s">
        <v>244</v>
      </c>
      <c r="F108" s="15" t="s">
        <v>244</v>
      </c>
      <c r="G108" s="10"/>
    </row>
    <row r="109" spans="1:8" x14ac:dyDescent="0.25">
      <c r="A109" s="8"/>
      <c r="B109" s="2" t="s">
        <v>119</v>
      </c>
      <c r="C109" s="3">
        <v>0</v>
      </c>
      <c r="D109" s="15"/>
      <c r="E109" s="15"/>
      <c r="F109" s="15"/>
      <c r="G109" s="10"/>
    </row>
    <row r="110" spans="1:8" x14ac:dyDescent="0.25">
      <c r="A110" s="8"/>
      <c r="B110" s="2" t="s">
        <v>120</v>
      </c>
      <c r="C110" s="3">
        <v>0</v>
      </c>
      <c r="D110" s="15"/>
      <c r="E110" s="15"/>
      <c r="F110" s="15"/>
      <c r="G110" s="10"/>
    </row>
    <row r="111" spans="1:8" x14ac:dyDescent="0.25">
      <c r="A111" s="8"/>
      <c r="B111" s="2" t="s">
        <v>121</v>
      </c>
      <c r="C111" s="3">
        <v>0.92489030370816483</v>
      </c>
      <c r="D111" s="15" t="s">
        <v>244</v>
      </c>
      <c r="E111" s="15" t="s">
        <v>244</v>
      </c>
      <c r="F111" s="15" t="s">
        <v>244</v>
      </c>
      <c r="G111" s="10"/>
    </row>
    <row r="112" spans="1:8" x14ac:dyDescent="0.25">
      <c r="A112" s="8"/>
      <c r="B112" s="1" t="s">
        <v>122</v>
      </c>
      <c r="C112" s="3">
        <v>1</v>
      </c>
      <c r="D112" s="15" t="s">
        <v>244</v>
      </c>
      <c r="E112" s="15" t="s">
        <v>244</v>
      </c>
      <c r="F112" s="15" t="s">
        <v>244</v>
      </c>
      <c r="G112" s="10"/>
    </row>
    <row r="113" spans="1:7" x14ac:dyDescent="0.25">
      <c r="A113" s="8"/>
      <c r="B113" s="2" t="s">
        <v>123</v>
      </c>
      <c r="C113" s="3">
        <v>1</v>
      </c>
      <c r="D113" s="15" t="s">
        <v>244</v>
      </c>
      <c r="E113" s="15" t="s">
        <v>244</v>
      </c>
      <c r="F113" s="15" t="s">
        <v>244</v>
      </c>
      <c r="G113" s="10"/>
    </row>
    <row r="114" spans="1:7" x14ac:dyDescent="0.25">
      <c r="A114" s="8"/>
      <c r="B114" s="2" t="s">
        <v>124</v>
      </c>
      <c r="C114" s="3">
        <v>1</v>
      </c>
      <c r="D114" s="15" t="s">
        <v>244</v>
      </c>
      <c r="E114" s="15" t="s">
        <v>244</v>
      </c>
      <c r="F114" s="15" t="s">
        <v>244</v>
      </c>
      <c r="G114" s="10"/>
    </row>
    <row r="115" spans="1:7" x14ac:dyDescent="0.25">
      <c r="A115" s="8"/>
      <c r="B115" s="1" t="s">
        <v>125</v>
      </c>
      <c r="C115" s="3">
        <v>0</v>
      </c>
      <c r="D115" s="15"/>
      <c r="E115" s="15"/>
      <c r="F115" s="15"/>
      <c r="G115" s="10"/>
    </row>
    <row r="116" spans="1:7" x14ac:dyDescent="0.25">
      <c r="A116" s="8"/>
      <c r="B116" s="1" t="s">
        <v>126</v>
      </c>
      <c r="C116" s="3">
        <v>0.56944444444444442</v>
      </c>
      <c r="D116" s="15" t="s">
        <v>244</v>
      </c>
      <c r="E116" s="15" t="s">
        <v>244</v>
      </c>
      <c r="F116" s="15" t="s">
        <v>244</v>
      </c>
      <c r="G116" s="10"/>
    </row>
    <row r="117" spans="1:7" x14ac:dyDescent="0.25">
      <c r="A117" s="8"/>
      <c r="B117" s="1" t="s">
        <v>127</v>
      </c>
      <c r="C117" s="3">
        <v>0.55000000000000004</v>
      </c>
      <c r="D117" s="15" t="s">
        <v>244</v>
      </c>
      <c r="E117" s="15" t="s">
        <v>244</v>
      </c>
      <c r="F117" s="15" t="s">
        <v>244</v>
      </c>
      <c r="G117" s="10"/>
    </row>
    <row r="118" spans="1:7" x14ac:dyDescent="0.25">
      <c r="A118" s="8"/>
      <c r="B118" s="9" t="s">
        <v>128</v>
      </c>
      <c r="C118" s="3">
        <v>1</v>
      </c>
      <c r="D118" s="15" t="s">
        <v>244</v>
      </c>
      <c r="E118" s="15" t="s">
        <v>244</v>
      </c>
      <c r="F118" s="15" t="s">
        <v>244</v>
      </c>
      <c r="G118" s="10"/>
    </row>
    <row r="119" spans="1:7" x14ac:dyDescent="0.25">
      <c r="A119" s="8"/>
      <c r="B119" s="11" t="s">
        <v>129</v>
      </c>
      <c r="C119" s="3">
        <v>1</v>
      </c>
      <c r="D119" s="15" t="s">
        <v>244</v>
      </c>
      <c r="E119" s="15" t="s">
        <v>244</v>
      </c>
      <c r="F119" s="15" t="s">
        <v>244</v>
      </c>
      <c r="G119" s="10"/>
    </row>
    <row r="120" spans="1:7" x14ac:dyDescent="0.25">
      <c r="A120" s="8"/>
      <c r="B120" s="11" t="s">
        <v>130</v>
      </c>
      <c r="C120" s="31">
        <v>1</v>
      </c>
      <c r="D120" s="15"/>
      <c r="E120" s="15"/>
      <c r="F120" s="15"/>
      <c r="G120" s="10"/>
    </row>
    <row r="121" spans="1:7" ht="17.25" x14ac:dyDescent="0.25">
      <c r="A121" s="6" t="s">
        <v>131</v>
      </c>
      <c r="B121" s="7"/>
      <c r="C121" s="25">
        <f>COUNTIF(C105:C120,"&gt; 0,01%")</f>
        <v>12</v>
      </c>
      <c r="D121" s="25">
        <f>COUNTA(D105:D120)</f>
        <v>11</v>
      </c>
      <c r="E121" s="25">
        <f t="shared" ref="E121:G121" si="15">COUNTA(E105:E120)</f>
        <v>11</v>
      </c>
      <c r="F121" s="25">
        <f t="shared" si="15"/>
        <v>11</v>
      </c>
      <c r="G121" s="25">
        <f t="shared" si="15"/>
        <v>0</v>
      </c>
    </row>
    <row r="122" spans="1:7" x14ac:dyDescent="0.25">
      <c r="A122" s="1" t="s">
        <v>132</v>
      </c>
      <c r="B122" s="2" t="s">
        <v>133</v>
      </c>
      <c r="C122" s="3">
        <v>1</v>
      </c>
      <c r="D122" s="15" t="s">
        <v>244</v>
      </c>
      <c r="E122" s="15" t="s">
        <v>244</v>
      </c>
      <c r="F122" s="15" t="s">
        <v>244</v>
      </c>
      <c r="G122" s="10"/>
    </row>
    <row r="123" spans="1:7" x14ac:dyDescent="0.25">
      <c r="A123" s="1"/>
      <c r="B123" s="2" t="s">
        <v>250</v>
      </c>
      <c r="C123" s="3">
        <v>1</v>
      </c>
      <c r="D123" s="15" t="s">
        <v>244</v>
      </c>
      <c r="E123" s="15" t="s">
        <v>244</v>
      </c>
      <c r="F123" s="15" t="s">
        <v>244</v>
      </c>
      <c r="G123" s="10"/>
    </row>
    <row r="124" spans="1:7" ht="17.25" x14ac:dyDescent="0.25">
      <c r="A124" s="4" t="s">
        <v>134</v>
      </c>
      <c r="B124" s="5"/>
      <c r="C124" s="24">
        <f>COUNTIF(C122:C123,"&gt; 0,01%")</f>
        <v>2</v>
      </c>
      <c r="D124" s="24">
        <f>COUNTA(D122:D123)</f>
        <v>2</v>
      </c>
      <c r="E124" s="24">
        <f>COUNTA(E122:E123)</f>
        <v>2</v>
      </c>
      <c r="F124" s="24">
        <f>COUNTA(F122:F123)</f>
        <v>2</v>
      </c>
      <c r="G124" s="24">
        <f>COUNTA(G122:G123)</f>
        <v>0</v>
      </c>
    </row>
    <row r="125" spans="1:7" x14ac:dyDescent="0.25">
      <c r="A125" s="1" t="s">
        <v>135</v>
      </c>
      <c r="B125" s="2" t="s">
        <v>136</v>
      </c>
      <c r="C125" s="31">
        <v>0.29895366218236175</v>
      </c>
      <c r="D125" s="15"/>
      <c r="E125" s="15"/>
      <c r="F125" s="15"/>
      <c r="G125" s="10"/>
    </row>
    <row r="126" spans="1:7" ht="17.25" x14ac:dyDescent="0.25">
      <c r="A126" s="6" t="s">
        <v>137</v>
      </c>
      <c r="B126" s="7"/>
      <c r="C126" s="25">
        <f>COUNTIF(C125,"&gt; 0,01%")</f>
        <v>1</v>
      </c>
      <c r="D126" s="25">
        <f>COUNTA(D125)</f>
        <v>0</v>
      </c>
      <c r="E126" s="25">
        <f t="shared" ref="E126:G126" si="16">COUNTA(E125)</f>
        <v>0</v>
      </c>
      <c r="F126" s="25">
        <f t="shared" si="16"/>
        <v>0</v>
      </c>
      <c r="G126" s="25">
        <f t="shared" si="16"/>
        <v>0</v>
      </c>
    </row>
    <row r="127" spans="1:7" x14ac:dyDescent="0.25">
      <c r="A127" s="1" t="s">
        <v>138</v>
      </c>
      <c r="B127" s="2" t="s">
        <v>139</v>
      </c>
      <c r="C127" s="31">
        <v>1.9493177387914229E-2</v>
      </c>
      <c r="D127" s="15"/>
      <c r="E127" s="15"/>
      <c r="F127" s="15"/>
      <c r="G127" s="10"/>
    </row>
    <row r="128" spans="1:7" x14ac:dyDescent="0.25">
      <c r="A128" s="1"/>
      <c r="B128" s="2" t="s">
        <v>140</v>
      </c>
      <c r="C128" s="31">
        <v>1</v>
      </c>
      <c r="D128" s="15"/>
      <c r="E128" s="15"/>
      <c r="F128" s="15"/>
      <c r="G128" s="10"/>
    </row>
    <row r="129" spans="1:8" x14ac:dyDescent="0.25">
      <c r="A129" s="1"/>
      <c r="B129" s="2" t="s">
        <v>141</v>
      </c>
      <c r="C129" s="31">
        <v>1</v>
      </c>
      <c r="D129" s="15"/>
      <c r="E129" s="15"/>
      <c r="F129" s="15"/>
      <c r="G129" s="10"/>
    </row>
    <row r="130" spans="1:8" ht="17.25" x14ac:dyDescent="0.25">
      <c r="A130" s="4" t="s">
        <v>142</v>
      </c>
      <c r="B130" s="5"/>
      <c r="C130" s="24">
        <f>COUNTIF(C127:C129,"&gt; 0,01%")</f>
        <v>3</v>
      </c>
      <c r="D130" s="24">
        <f>COUNTA(D127:D129)</f>
        <v>0</v>
      </c>
      <c r="E130" s="24">
        <f t="shared" ref="E130:G130" si="17">COUNTA(E127:E129)</f>
        <v>0</v>
      </c>
      <c r="F130" s="24">
        <f t="shared" si="17"/>
        <v>0</v>
      </c>
      <c r="G130" s="24">
        <f t="shared" si="17"/>
        <v>0</v>
      </c>
    </row>
    <row r="131" spans="1:8" x14ac:dyDescent="0.25">
      <c r="A131" s="1" t="s">
        <v>143</v>
      </c>
      <c r="B131" s="2" t="s">
        <v>144</v>
      </c>
      <c r="C131" s="31">
        <v>0.65896671634376558</v>
      </c>
      <c r="D131" s="15"/>
      <c r="E131" s="15"/>
      <c r="F131" s="15"/>
      <c r="G131" s="10"/>
    </row>
    <row r="132" spans="1:8" ht="17.25" x14ac:dyDescent="0.25">
      <c r="A132" s="6" t="s">
        <v>145</v>
      </c>
      <c r="B132" s="7"/>
      <c r="C132" s="25">
        <f>COUNTIF(C131,"&gt; 0,01%")</f>
        <v>1</v>
      </c>
      <c r="D132" s="25">
        <f>COUNTA(D131)</f>
        <v>0</v>
      </c>
      <c r="E132" s="25">
        <f t="shared" ref="E132:G132" si="18">COUNTA(E131)</f>
        <v>0</v>
      </c>
      <c r="F132" s="25">
        <f t="shared" si="18"/>
        <v>0</v>
      </c>
      <c r="G132" s="25">
        <f t="shared" si="18"/>
        <v>0</v>
      </c>
    </row>
    <row r="133" spans="1:8" x14ac:dyDescent="0.25">
      <c r="A133" s="1" t="s">
        <v>146</v>
      </c>
      <c r="B133" s="2" t="s">
        <v>147</v>
      </c>
      <c r="C133" s="3">
        <v>0.10991426687183996</v>
      </c>
      <c r="D133" s="15" t="s">
        <v>244</v>
      </c>
      <c r="E133" s="15" t="s">
        <v>244</v>
      </c>
      <c r="F133" s="15" t="s">
        <v>244</v>
      </c>
      <c r="G133" s="10"/>
    </row>
    <row r="134" spans="1:8" x14ac:dyDescent="0.25">
      <c r="A134" s="1"/>
      <c r="B134" s="2" t="s">
        <v>148</v>
      </c>
      <c r="C134" s="3">
        <v>1</v>
      </c>
      <c r="D134" s="15" t="s">
        <v>244</v>
      </c>
      <c r="E134" s="15" t="s">
        <v>244</v>
      </c>
      <c r="F134" s="15" t="s">
        <v>244</v>
      </c>
      <c r="G134" s="10"/>
    </row>
    <row r="135" spans="1:8" x14ac:dyDescent="0.25">
      <c r="A135" s="1"/>
      <c r="B135" s="2" t="s">
        <v>149</v>
      </c>
      <c r="C135" s="3">
        <v>1</v>
      </c>
      <c r="D135" s="15" t="s">
        <v>244</v>
      </c>
      <c r="E135" s="15" t="s">
        <v>244</v>
      </c>
      <c r="F135" s="15" t="s">
        <v>244</v>
      </c>
      <c r="G135" s="10"/>
    </row>
    <row r="136" spans="1:8" x14ac:dyDescent="0.25">
      <c r="A136" s="1"/>
      <c r="B136" s="2" t="s">
        <v>150</v>
      </c>
      <c r="C136" s="3">
        <v>1</v>
      </c>
      <c r="D136" s="15" t="s">
        <v>244</v>
      </c>
      <c r="E136" s="15" t="s">
        <v>244</v>
      </c>
      <c r="F136" s="15" t="s">
        <v>244</v>
      </c>
      <c r="G136" s="10"/>
    </row>
    <row r="137" spans="1:8" ht="17.25" x14ac:dyDescent="0.25">
      <c r="A137" s="4" t="s">
        <v>151</v>
      </c>
      <c r="B137" s="5"/>
      <c r="C137" s="24">
        <f>COUNTIF(C133:C136,"&gt; 0,01%")</f>
        <v>4</v>
      </c>
      <c r="D137" s="24">
        <f>COUNTA(D133:D136)</f>
        <v>4</v>
      </c>
      <c r="E137" s="24">
        <f t="shared" ref="E137:G137" si="19">COUNTA(E133:E136)</f>
        <v>4</v>
      </c>
      <c r="F137" s="24">
        <f t="shared" si="19"/>
        <v>4</v>
      </c>
      <c r="G137" s="24">
        <f t="shared" si="19"/>
        <v>0</v>
      </c>
    </row>
    <row r="138" spans="1:8" x14ac:dyDescent="0.25">
      <c r="A138" s="1" t="s">
        <v>152</v>
      </c>
      <c r="B138" s="2" t="s">
        <v>153</v>
      </c>
      <c r="C138" s="3">
        <v>0.13698630136986301</v>
      </c>
      <c r="D138" s="15" t="s">
        <v>244</v>
      </c>
      <c r="E138" s="15" t="s">
        <v>244</v>
      </c>
      <c r="F138" s="15" t="s">
        <v>244</v>
      </c>
      <c r="G138" s="10"/>
      <c r="H138" t="s">
        <v>269</v>
      </c>
    </row>
    <row r="139" spans="1:8" x14ac:dyDescent="0.25">
      <c r="A139" s="1"/>
      <c r="B139" s="1" t="s">
        <v>154</v>
      </c>
      <c r="C139" s="3">
        <v>0.22727272727272727</v>
      </c>
      <c r="D139" s="15" t="s">
        <v>244</v>
      </c>
      <c r="E139" s="15" t="s">
        <v>244</v>
      </c>
      <c r="F139" s="15" t="s">
        <v>244</v>
      </c>
      <c r="G139" s="10"/>
      <c r="H139" t="s">
        <v>269</v>
      </c>
    </row>
    <row r="140" spans="1:8" ht="17.25" x14ac:dyDescent="0.25">
      <c r="A140" s="6" t="s">
        <v>155</v>
      </c>
      <c r="B140" s="7"/>
      <c r="C140" s="25">
        <f>COUNTIF(C138:C139,"&gt; 0,01%")</f>
        <v>2</v>
      </c>
      <c r="D140" s="25">
        <f>COUNTA(D138:D139)</f>
        <v>2</v>
      </c>
      <c r="E140" s="25">
        <f t="shared" ref="E140:G140" si="20">COUNTA(E138:E139)</f>
        <v>2</v>
      </c>
      <c r="F140" s="25">
        <f t="shared" si="20"/>
        <v>2</v>
      </c>
      <c r="G140" s="25">
        <f t="shared" si="20"/>
        <v>0</v>
      </c>
    </row>
    <row r="141" spans="1:8" x14ac:dyDescent="0.25">
      <c r="A141" s="1" t="s">
        <v>156</v>
      </c>
      <c r="B141" s="2" t="s">
        <v>157</v>
      </c>
      <c r="C141" s="3">
        <v>1</v>
      </c>
      <c r="D141" s="15" t="s">
        <v>244</v>
      </c>
      <c r="E141" s="15" t="s">
        <v>244</v>
      </c>
      <c r="F141" s="15" t="s">
        <v>244</v>
      </c>
      <c r="G141" s="10"/>
    </row>
    <row r="142" spans="1:8" x14ac:dyDescent="0.25">
      <c r="A142" s="1"/>
      <c r="B142" s="2" t="s">
        <v>158</v>
      </c>
      <c r="C142" s="3">
        <v>1</v>
      </c>
      <c r="D142" s="15" t="s">
        <v>244</v>
      </c>
      <c r="E142" s="15" t="s">
        <v>244</v>
      </c>
      <c r="F142" s="15" t="s">
        <v>244</v>
      </c>
      <c r="G142" s="10"/>
    </row>
    <row r="143" spans="1:8" ht="17.25" x14ac:dyDescent="0.25">
      <c r="A143" s="4" t="s">
        <v>159</v>
      </c>
      <c r="B143" s="5"/>
      <c r="C143" s="24">
        <f>COUNTIF(C141:C142,"&gt; 0,01%")</f>
        <v>2</v>
      </c>
      <c r="D143" s="24">
        <f>COUNTA(D141:D142)</f>
        <v>2</v>
      </c>
      <c r="E143" s="24">
        <f>COUNTA(E141:E142)</f>
        <v>2</v>
      </c>
      <c r="F143" s="24">
        <f>COUNTA(F141:F142)</f>
        <v>2</v>
      </c>
      <c r="G143" s="24">
        <f t="shared" ref="G143" si="21">COUNTA(G142)</f>
        <v>0</v>
      </c>
    </row>
    <row r="144" spans="1:8" x14ac:dyDescent="0.25">
      <c r="A144" s="1" t="s">
        <v>160</v>
      </c>
      <c r="B144" s="2" t="s">
        <v>161</v>
      </c>
      <c r="C144" s="31">
        <v>1</v>
      </c>
      <c r="D144" s="15"/>
      <c r="E144" s="15"/>
      <c r="F144" s="15"/>
      <c r="G144" s="10"/>
    </row>
    <row r="145" spans="1:7" ht="17.25" x14ac:dyDescent="0.25">
      <c r="A145" s="6" t="s">
        <v>162</v>
      </c>
      <c r="B145" s="7"/>
      <c r="C145" s="25">
        <f>COUNTIF(C144,"&gt; 0,01%")</f>
        <v>1</v>
      </c>
      <c r="D145" s="25">
        <f>COUNTA(D144)</f>
        <v>0</v>
      </c>
      <c r="E145" s="25">
        <f t="shared" ref="E145:G145" si="22">COUNTA(E144)</f>
        <v>0</v>
      </c>
      <c r="F145" s="25">
        <f t="shared" si="22"/>
        <v>0</v>
      </c>
      <c r="G145" s="25">
        <f t="shared" si="22"/>
        <v>0</v>
      </c>
    </row>
    <row r="146" spans="1:7" x14ac:dyDescent="0.25">
      <c r="A146" s="1" t="s">
        <v>163</v>
      </c>
      <c r="B146" s="2" t="s">
        <v>164</v>
      </c>
      <c r="C146" s="3">
        <v>1</v>
      </c>
      <c r="D146" s="10" t="s">
        <v>244</v>
      </c>
      <c r="E146" s="10" t="s">
        <v>244</v>
      </c>
      <c r="F146" s="10" t="s">
        <v>244</v>
      </c>
      <c r="G146" s="10"/>
    </row>
    <row r="147" spans="1:7" x14ac:dyDescent="0.25">
      <c r="A147" s="8"/>
      <c r="B147" s="2" t="s">
        <v>165</v>
      </c>
      <c r="C147" s="3">
        <v>1</v>
      </c>
      <c r="D147" s="10" t="s">
        <v>244</v>
      </c>
      <c r="E147" s="10" t="s">
        <v>244</v>
      </c>
      <c r="F147" s="10" t="s">
        <v>244</v>
      </c>
      <c r="G147" s="16"/>
    </row>
    <row r="148" spans="1:7" x14ac:dyDescent="0.25">
      <c r="A148" s="8"/>
      <c r="B148" s="2" t="s">
        <v>166</v>
      </c>
      <c r="C148" s="3">
        <v>1</v>
      </c>
      <c r="D148" s="10" t="s">
        <v>244</v>
      </c>
      <c r="E148" s="10" t="s">
        <v>244</v>
      </c>
      <c r="F148" s="10" t="s">
        <v>244</v>
      </c>
      <c r="G148" s="10"/>
    </row>
    <row r="149" spans="1:7" x14ac:dyDescent="0.25">
      <c r="A149" s="8"/>
      <c r="B149" s="2" t="s">
        <v>167</v>
      </c>
      <c r="C149" s="3">
        <v>1</v>
      </c>
      <c r="D149" s="10" t="s">
        <v>244</v>
      </c>
      <c r="E149" s="10" t="s">
        <v>244</v>
      </c>
      <c r="F149" s="10" t="s">
        <v>244</v>
      </c>
      <c r="G149" s="10"/>
    </row>
    <row r="150" spans="1:7" x14ac:dyDescent="0.25">
      <c r="A150" s="8"/>
      <c r="B150" s="2" t="s">
        <v>168</v>
      </c>
      <c r="C150" s="3">
        <v>1</v>
      </c>
      <c r="D150" s="10" t="s">
        <v>244</v>
      </c>
      <c r="E150" s="10" t="s">
        <v>244</v>
      </c>
      <c r="F150" s="10" t="s">
        <v>244</v>
      </c>
      <c r="G150" s="10"/>
    </row>
    <row r="151" spans="1:7" x14ac:dyDescent="0.25">
      <c r="A151" s="8"/>
      <c r="B151" s="2" t="s">
        <v>169</v>
      </c>
      <c r="C151" s="3">
        <v>1</v>
      </c>
      <c r="D151" s="10" t="s">
        <v>244</v>
      </c>
      <c r="E151" s="10" t="s">
        <v>244</v>
      </c>
      <c r="F151" s="10" t="s">
        <v>244</v>
      </c>
      <c r="G151" s="10"/>
    </row>
    <row r="152" spans="1:7" x14ac:dyDescent="0.25">
      <c r="A152" s="8"/>
      <c r="B152" s="2" t="s">
        <v>170</v>
      </c>
      <c r="C152" s="3">
        <v>1</v>
      </c>
      <c r="D152" s="10" t="s">
        <v>244</v>
      </c>
      <c r="E152" s="10" t="s">
        <v>244</v>
      </c>
      <c r="F152" s="10" t="s">
        <v>244</v>
      </c>
      <c r="G152" s="10"/>
    </row>
    <row r="153" spans="1:7" x14ac:dyDescent="0.25">
      <c r="A153" s="8"/>
      <c r="B153" s="2" t="s">
        <v>171</v>
      </c>
      <c r="C153" s="3">
        <v>1</v>
      </c>
      <c r="D153" s="10" t="s">
        <v>244</v>
      </c>
      <c r="E153" s="10" t="s">
        <v>244</v>
      </c>
      <c r="F153" s="10" t="s">
        <v>244</v>
      </c>
      <c r="G153" s="10"/>
    </row>
    <row r="154" spans="1:7" x14ac:dyDescent="0.25">
      <c r="A154" s="8"/>
      <c r="B154" s="2" t="s">
        <v>172</v>
      </c>
      <c r="C154" s="3">
        <v>1</v>
      </c>
      <c r="D154" s="10" t="s">
        <v>244</v>
      </c>
      <c r="E154" s="10" t="s">
        <v>244</v>
      </c>
      <c r="F154" s="10" t="s">
        <v>244</v>
      </c>
      <c r="G154" s="10"/>
    </row>
    <row r="155" spans="1:7" x14ac:dyDescent="0.25">
      <c r="A155" s="8"/>
      <c r="B155" s="2" t="s">
        <v>173</v>
      </c>
      <c r="C155" s="3">
        <v>1</v>
      </c>
      <c r="D155" s="10" t="s">
        <v>244</v>
      </c>
      <c r="E155" s="10" t="s">
        <v>244</v>
      </c>
      <c r="F155" s="10" t="s">
        <v>244</v>
      </c>
      <c r="G155" s="10"/>
    </row>
    <row r="156" spans="1:7" x14ac:dyDescent="0.25">
      <c r="A156" s="8"/>
      <c r="B156" s="2" t="s">
        <v>174</v>
      </c>
      <c r="C156" s="3">
        <v>1</v>
      </c>
      <c r="D156" s="10" t="s">
        <v>244</v>
      </c>
      <c r="E156" s="10" t="s">
        <v>244</v>
      </c>
      <c r="F156" s="10" t="s">
        <v>244</v>
      </c>
      <c r="G156" s="10"/>
    </row>
    <row r="157" spans="1:7" x14ac:dyDescent="0.25">
      <c r="A157" s="8"/>
      <c r="B157" s="2" t="s">
        <v>175</v>
      </c>
      <c r="C157" s="3">
        <v>1</v>
      </c>
      <c r="D157" s="10" t="s">
        <v>244</v>
      </c>
      <c r="E157" s="10" t="s">
        <v>244</v>
      </c>
      <c r="F157" s="10" t="s">
        <v>244</v>
      </c>
      <c r="G157" s="10"/>
    </row>
    <row r="158" spans="1:7" x14ac:dyDescent="0.25">
      <c r="A158" s="8"/>
      <c r="B158" s="2" t="s">
        <v>176</v>
      </c>
      <c r="C158" s="3">
        <v>1</v>
      </c>
      <c r="D158" s="10" t="s">
        <v>244</v>
      </c>
      <c r="E158" s="10" t="s">
        <v>244</v>
      </c>
      <c r="F158" s="10" t="s">
        <v>244</v>
      </c>
      <c r="G158" s="10"/>
    </row>
    <row r="159" spans="1:7" x14ac:dyDescent="0.25">
      <c r="A159" s="8"/>
      <c r="B159" s="2" t="s">
        <v>177</v>
      </c>
      <c r="C159" s="3">
        <v>1</v>
      </c>
      <c r="D159" s="10" t="s">
        <v>244</v>
      </c>
      <c r="E159" s="10" t="s">
        <v>244</v>
      </c>
      <c r="F159" s="10" t="s">
        <v>244</v>
      </c>
      <c r="G159" s="10"/>
    </row>
    <row r="160" spans="1:7" x14ac:dyDescent="0.25">
      <c r="A160" s="8"/>
      <c r="B160" s="2" t="s">
        <v>178</v>
      </c>
      <c r="C160" s="3">
        <v>1</v>
      </c>
      <c r="D160" s="10" t="s">
        <v>244</v>
      </c>
      <c r="E160" s="10" t="s">
        <v>244</v>
      </c>
      <c r="F160" s="10" t="s">
        <v>244</v>
      </c>
      <c r="G160" s="10"/>
    </row>
    <row r="161" spans="1:7" x14ac:dyDescent="0.25">
      <c r="A161" s="8"/>
      <c r="B161" s="2" t="s">
        <v>179</v>
      </c>
      <c r="C161" s="3">
        <v>1</v>
      </c>
      <c r="D161" s="10" t="s">
        <v>244</v>
      </c>
      <c r="E161" s="10" t="s">
        <v>244</v>
      </c>
      <c r="F161" s="10" t="s">
        <v>244</v>
      </c>
      <c r="G161" s="10"/>
    </row>
    <row r="162" spans="1:7" x14ac:dyDescent="0.25">
      <c r="A162" s="8"/>
      <c r="B162" s="2" t="s">
        <v>180</v>
      </c>
      <c r="C162" s="3">
        <v>1</v>
      </c>
      <c r="D162" s="10" t="s">
        <v>244</v>
      </c>
      <c r="E162" s="10" t="s">
        <v>244</v>
      </c>
      <c r="F162" s="10" t="s">
        <v>244</v>
      </c>
      <c r="G162" s="10"/>
    </row>
    <row r="163" spans="1:7" x14ac:dyDescent="0.25">
      <c r="A163" s="8"/>
      <c r="B163" s="2" t="s">
        <v>181</v>
      </c>
      <c r="C163" s="3">
        <v>1</v>
      </c>
      <c r="D163" s="10" t="s">
        <v>244</v>
      </c>
      <c r="E163" s="10" t="s">
        <v>244</v>
      </c>
      <c r="F163" s="10" t="s">
        <v>244</v>
      </c>
      <c r="G163" s="10"/>
    </row>
    <row r="164" spans="1:7" x14ac:dyDescent="0.25">
      <c r="A164" s="8"/>
      <c r="B164" s="9" t="s">
        <v>182</v>
      </c>
      <c r="C164" s="3">
        <v>1</v>
      </c>
      <c r="D164" s="10" t="s">
        <v>244</v>
      </c>
      <c r="E164" s="10" t="s">
        <v>244</v>
      </c>
      <c r="F164" s="10" t="s">
        <v>244</v>
      </c>
      <c r="G164" s="10"/>
    </row>
    <row r="165" spans="1:7" x14ac:dyDescent="0.25">
      <c r="A165" s="8"/>
      <c r="B165" s="2" t="s">
        <v>254</v>
      </c>
      <c r="C165" s="3">
        <v>1</v>
      </c>
      <c r="D165" s="10" t="s">
        <v>251</v>
      </c>
      <c r="E165" s="10" t="s">
        <v>251</v>
      </c>
      <c r="F165" s="10" t="s">
        <v>244</v>
      </c>
      <c r="G165" s="10"/>
    </row>
    <row r="166" spans="1:7" x14ac:dyDescent="0.25">
      <c r="A166" s="8"/>
      <c r="B166" s="2" t="s">
        <v>257</v>
      </c>
      <c r="C166" s="3">
        <v>1</v>
      </c>
      <c r="D166" s="10" t="s">
        <v>251</v>
      </c>
      <c r="E166" s="10" t="s">
        <v>251</v>
      </c>
      <c r="F166" s="10" t="s">
        <v>244</v>
      </c>
      <c r="G166" s="10"/>
    </row>
    <row r="167" spans="1:7" x14ac:dyDescent="0.25">
      <c r="A167" s="8"/>
      <c r="B167" s="2" t="s">
        <v>256</v>
      </c>
      <c r="C167" s="3">
        <v>1</v>
      </c>
      <c r="D167" s="10" t="s">
        <v>251</v>
      </c>
      <c r="E167" s="10" t="s">
        <v>251</v>
      </c>
      <c r="F167" s="10" t="s">
        <v>244</v>
      </c>
      <c r="G167" s="10"/>
    </row>
    <row r="168" spans="1:7" x14ac:dyDescent="0.25">
      <c r="A168" s="8"/>
      <c r="B168" s="2" t="s">
        <v>258</v>
      </c>
      <c r="C168" s="3">
        <v>1</v>
      </c>
      <c r="D168" s="10" t="s">
        <v>251</v>
      </c>
      <c r="E168" s="10" t="s">
        <v>251</v>
      </c>
      <c r="F168" s="10" t="s">
        <v>244</v>
      </c>
      <c r="G168" s="10"/>
    </row>
    <row r="169" spans="1:7" x14ac:dyDescent="0.25">
      <c r="A169" s="8"/>
      <c r="B169" s="2" t="s">
        <v>259</v>
      </c>
      <c r="C169" s="3">
        <v>1</v>
      </c>
      <c r="D169" s="10" t="s">
        <v>251</v>
      </c>
      <c r="E169" s="10" t="s">
        <v>251</v>
      </c>
      <c r="F169" s="10" t="s">
        <v>244</v>
      </c>
      <c r="G169" s="10"/>
    </row>
    <row r="170" spans="1:7" x14ac:dyDescent="0.25">
      <c r="A170" s="8"/>
      <c r="B170" s="2" t="s">
        <v>260</v>
      </c>
      <c r="C170" s="3">
        <v>1</v>
      </c>
      <c r="D170" s="10" t="s">
        <v>251</v>
      </c>
      <c r="E170" s="10" t="s">
        <v>251</v>
      </c>
      <c r="F170" s="10" t="s">
        <v>244</v>
      </c>
      <c r="G170" s="10"/>
    </row>
    <row r="171" spans="1:7" x14ac:dyDescent="0.25">
      <c r="A171" s="8"/>
      <c r="B171" s="2" t="s">
        <v>261</v>
      </c>
      <c r="C171" s="3">
        <v>1</v>
      </c>
      <c r="D171" s="10" t="s">
        <v>251</v>
      </c>
      <c r="E171" s="10" t="s">
        <v>251</v>
      </c>
      <c r="F171" s="10" t="s">
        <v>244</v>
      </c>
      <c r="G171" s="10"/>
    </row>
    <row r="172" spans="1:7" x14ac:dyDescent="0.25">
      <c r="A172" s="8"/>
      <c r="B172" s="2" t="s">
        <v>262</v>
      </c>
      <c r="C172" s="3">
        <v>1</v>
      </c>
      <c r="D172" s="10" t="s">
        <v>251</v>
      </c>
      <c r="E172" s="10" t="s">
        <v>251</v>
      </c>
      <c r="F172" s="10" t="s">
        <v>244</v>
      </c>
      <c r="G172" s="10"/>
    </row>
    <row r="173" spans="1:7" x14ac:dyDescent="0.25">
      <c r="A173" s="8"/>
      <c r="B173" s="2" t="s">
        <v>264</v>
      </c>
      <c r="C173" s="3">
        <v>1</v>
      </c>
      <c r="D173" s="10" t="s">
        <v>251</v>
      </c>
      <c r="E173" s="10" t="s">
        <v>251</v>
      </c>
      <c r="F173" s="10" t="s">
        <v>244</v>
      </c>
      <c r="G173" s="10"/>
    </row>
    <row r="174" spans="1:7" x14ac:dyDescent="0.25">
      <c r="A174" s="8"/>
      <c r="B174" s="2" t="s">
        <v>266</v>
      </c>
      <c r="C174" s="3">
        <v>1</v>
      </c>
      <c r="D174" s="10" t="s">
        <v>251</v>
      </c>
      <c r="E174" s="10" t="s">
        <v>251</v>
      </c>
      <c r="F174" s="10" t="s">
        <v>244</v>
      </c>
      <c r="G174" s="10"/>
    </row>
    <row r="175" spans="1:7" x14ac:dyDescent="0.25">
      <c r="A175" s="8"/>
      <c r="B175" s="2" t="s">
        <v>267</v>
      </c>
      <c r="C175" s="3">
        <v>1</v>
      </c>
      <c r="D175" s="10" t="s">
        <v>251</v>
      </c>
      <c r="E175" s="10" t="s">
        <v>251</v>
      </c>
      <c r="F175" s="10" t="s">
        <v>244</v>
      </c>
      <c r="G175" s="10"/>
    </row>
    <row r="176" spans="1:7" x14ac:dyDescent="0.25">
      <c r="A176" s="8"/>
      <c r="B176" s="2" t="s">
        <v>255</v>
      </c>
      <c r="C176" s="3">
        <v>1</v>
      </c>
      <c r="D176" s="10" t="s">
        <v>251</v>
      </c>
      <c r="E176" s="10" t="s">
        <v>251</v>
      </c>
      <c r="F176" s="10" t="s">
        <v>244</v>
      </c>
      <c r="G176" s="10"/>
    </row>
    <row r="177" spans="1:7" x14ac:dyDescent="0.25">
      <c r="A177" s="8"/>
      <c r="B177" s="2" t="s">
        <v>265</v>
      </c>
      <c r="C177" s="3">
        <v>1</v>
      </c>
      <c r="D177" s="10" t="s">
        <v>251</v>
      </c>
      <c r="E177" s="10" t="s">
        <v>251</v>
      </c>
      <c r="F177" s="10" t="s">
        <v>244</v>
      </c>
      <c r="G177" s="10"/>
    </row>
    <row r="178" spans="1:7" x14ac:dyDescent="0.25">
      <c r="A178" s="8"/>
      <c r="B178" s="2" t="s">
        <v>268</v>
      </c>
      <c r="C178" s="3">
        <v>1</v>
      </c>
      <c r="D178" s="10" t="s">
        <v>251</v>
      </c>
      <c r="E178" s="10" t="s">
        <v>251</v>
      </c>
      <c r="F178" s="10" t="s">
        <v>244</v>
      </c>
      <c r="G178" s="10"/>
    </row>
    <row r="179" spans="1:7" x14ac:dyDescent="0.25">
      <c r="A179" s="8"/>
      <c r="B179" s="2" t="s">
        <v>263</v>
      </c>
      <c r="C179" s="3">
        <v>1</v>
      </c>
      <c r="D179" s="10" t="s">
        <v>251</v>
      </c>
      <c r="E179" s="10" t="s">
        <v>251</v>
      </c>
      <c r="F179" s="10" t="s">
        <v>244</v>
      </c>
      <c r="G179" s="10"/>
    </row>
    <row r="180" spans="1:7" ht="17.25" x14ac:dyDescent="0.25">
      <c r="A180" s="4" t="s">
        <v>183</v>
      </c>
      <c r="B180" s="5"/>
      <c r="C180" s="24">
        <f>COUNTIF(C146:C179,"&gt; 0,01%")</f>
        <v>34</v>
      </c>
      <c r="D180" s="24">
        <f>COUNTA(D146:D179)</f>
        <v>34</v>
      </c>
      <c r="E180" s="24">
        <f>COUNTA(E146:E179)</f>
        <v>34</v>
      </c>
      <c r="F180" s="24">
        <f>COUNTA(F146:F179)</f>
        <v>34</v>
      </c>
      <c r="G180" s="24">
        <f>COUNTA(G146:G179)</f>
        <v>0</v>
      </c>
    </row>
    <row r="181" spans="1:7" x14ac:dyDescent="0.25">
      <c r="A181" s="1" t="s">
        <v>184</v>
      </c>
      <c r="B181" s="2" t="s">
        <v>185</v>
      </c>
      <c r="C181" s="3">
        <v>1</v>
      </c>
      <c r="D181" s="15" t="s">
        <v>244</v>
      </c>
      <c r="E181" s="15" t="s">
        <v>244</v>
      </c>
      <c r="F181" s="15" t="s">
        <v>244</v>
      </c>
      <c r="G181" s="10"/>
    </row>
    <row r="182" spans="1:7" ht="17.25" x14ac:dyDescent="0.25">
      <c r="A182" s="6" t="s">
        <v>186</v>
      </c>
      <c r="B182" s="7"/>
      <c r="C182" s="25">
        <f>COUNTIF(C181,"&gt; 0,01%")</f>
        <v>1</v>
      </c>
      <c r="D182" s="25">
        <f>COUNTA(D181)</f>
        <v>1</v>
      </c>
      <c r="E182" s="25">
        <f t="shared" ref="E182:G182" si="23">COUNTA(E181)</f>
        <v>1</v>
      </c>
      <c r="F182" s="25">
        <f t="shared" si="23"/>
        <v>1</v>
      </c>
      <c r="G182" s="25">
        <f t="shared" si="23"/>
        <v>0</v>
      </c>
    </row>
    <row r="183" spans="1:7" x14ac:dyDescent="0.25">
      <c r="A183" s="1" t="s">
        <v>187</v>
      </c>
      <c r="B183" s="2" t="s">
        <v>188</v>
      </c>
      <c r="C183" s="31">
        <v>1</v>
      </c>
      <c r="D183" s="15"/>
      <c r="E183" s="15"/>
      <c r="F183" s="15"/>
      <c r="G183" s="10"/>
    </row>
    <row r="184" spans="1:7" x14ac:dyDescent="0.25">
      <c r="A184" s="1"/>
      <c r="B184" s="2" t="s">
        <v>189</v>
      </c>
      <c r="C184" s="31">
        <v>1</v>
      </c>
      <c r="D184" s="15"/>
      <c r="E184" s="15"/>
      <c r="F184" s="15"/>
      <c r="G184" s="10"/>
    </row>
    <row r="185" spans="1:7" x14ac:dyDescent="0.25">
      <c r="A185" s="1"/>
      <c r="B185" s="2" t="s">
        <v>190</v>
      </c>
      <c r="C185" s="3">
        <v>0</v>
      </c>
      <c r="D185" s="15"/>
      <c r="E185" s="15"/>
      <c r="F185" s="15"/>
      <c r="G185" s="10"/>
    </row>
    <row r="186" spans="1:7" ht="17.25" x14ac:dyDescent="0.25">
      <c r="A186" s="4" t="s">
        <v>191</v>
      </c>
      <c r="B186" s="5"/>
      <c r="C186" s="24">
        <f>COUNTIF(C183:C185,"&gt; 0,01%")</f>
        <v>2</v>
      </c>
      <c r="D186" s="24">
        <f>COUNTA(D183:D185)</f>
        <v>0</v>
      </c>
      <c r="E186" s="24">
        <f t="shared" ref="E186:G186" si="24">COUNTA(E183:E185)</f>
        <v>0</v>
      </c>
      <c r="F186" s="24">
        <f t="shared" si="24"/>
        <v>0</v>
      </c>
      <c r="G186" s="24">
        <f t="shared" si="24"/>
        <v>0</v>
      </c>
    </row>
    <row r="187" spans="1:7" x14ac:dyDescent="0.25">
      <c r="A187" s="1" t="s">
        <v>192</v>
      </c>
      <c r="B187" s="11" t="s">
        <v>193</v>
      </c>
      <c r="C187" s="3">
        <v>1</v>
      </c>
      <c r="D187" s="15" t="s">
        <v>244</v>
      </c>
      <c r="E187" s="15" t="s">
        <v>244</v>
      </c>
      <c r="F187" s="15" t="s">
        <v>244</v>
      </c>
      <c r="G187" s="10"/>
    </row>
    <row r="188" spans="1:7" ht="17.25" x14ac:dyDescent="0.25">
      <c r="A188" s="6" t="s">
        <v>194</v>
      </c>
      <c r="B188" s="7"/>
      <c r="C188" s="25">
        <f>COUNTIF(C187,"&gt; 0,01%")</f>
        <v>1</v>
      </c>
      <c r="D188" s="25">
        <f>COUNTA(D187)</f>
        <v>1</v>
      </c>
      <c r="E188" s="25">
        <f t="shared" ref="E188:G188" si="25">COUNTA(E187)</f>
        <v>1</v>
      </c>
      <c r="F188" s="25">
        <f t="shared" si="25"/>
        <v>1</v>
      </c>
      <c r="G188" s="25">
        <f t="shared" si="25"/>
        <v>0</v>
      </c>
    </row>
    <row r="189" spans="1:7" x14ac:dyDescent="0.25">
      <c r="A189" s="1" t="s">
        <v>195</v>
      </c>
      <c r="B189" s="2" t="s">
        <v>196</v>
      </c>
      <c r="C189" s="3">
        <v>1</v>
      </c>
      <c r="D189" s="15" t="s">
        <v>244</v>
      </c>
      <c r="E189" s="15" t="s">
        <v>244</v>
      </c>
      <c r="F189" s="15" t="s">
        <v>244</v>
      </c>
      <c r="G189" s="10"/>
    </row>
    <row r="190" spans="1:7" x14ac:dyDescent="0.25">
      <c r="A190" s="1"/>
      <c r="B190" s="2" t="s">
        <v>197</v>
      </c>
      <c r="C190" s="3">
        <v>0.95</v>
      </c>
      <c r="D190" s="15" t="s">
        <v>244</v>
      </c>
      <c r="E190" s="15" t="s">
        <v>244</v>
      </c>
      <c r="F190" s="15" t="s">
        <v>244</v>
      </c>
      <c r="G190" s="10"/>
    </row>
    <row r="191" spans="1:7" x14ac:dyDescent="0.25">
      <c r="A191" s="8"/>
      <c r="B191" s="1" t="s">
        <v>198</v>
      </c>
      <c r="C191" s="3">
        <v>1</v>
      </c>
      <c r="D191" s="15" t="s">
        <v>244</v>
      </c>
      <c r="E191" s="15" t="s">
        <v>244</v>
      </c>
      <c r="F191" s="15" t="s">
        <v>244</v>
      </c>
      <c r="G191" s="10"/>
    </row>
    <row r="192" spans="1:7" x14ac:dyDescent="0.25">
      <c r="A192" s="8"/>
      <c r="B192" s="1" t="s">
        <v>199</v>
      </c>
      <c r="C192" s="3">
        <v>1</v>
      </c>
      <c r="D192" s="15" t="s">
        <v>244</v>
      </c>
      <c r="E192" s="15" t="s">
        <v>244</v>
      </c>
      <c r="F192" s="15" t="s">
        <v>244</v>
      </c>
      <c r="G192" s="10"/>
    </row>
    <row r="193" spans="1:8" x14ac:dyDescent="0.25">
      <c r="A193" s="8"/>
      <c r="B193" s="1" t="s">
        <v>200</v>
      </c>
      <c r="C193" s="3">
        <v>0</v>
      </c>
      <c r="D193" s="15"/>
      <c r="E193" s="15"/>
      <c r="F193" s="15"/>
      <c r="G193" s="10"/>
    </row>
    <row r="194" spans="1:8" ht="17.25" x14ac:dyDescent="0.25">
      <c r="A194" s="4" t="s">
        <v>201</v>
      </c>
      <c r="B194" s="5"/>
      <c r="C194" s="24">
        <f>COUNTIF(C189:C193,"&gt; 0,01%")</f>
        <v>4</v>
      </c>
      <c r="D194" s="24">
        <f>COUNTA(D189:D193)</f>
        <v>4</v>
      </c>
      <c r="E194" s="24">
        <f t="shared" ref="E194:G194" si="26">COUNTA(E189:E193)</f>
        <v>4</v>
      </c>
      <c r="F194" s="24">
        <f t="shared" si="26"/>
        <v>4</v>
      </c>
      <c r="G194" s="24">
        <f t="shared" si="26"/>
        <v>0</v>
      </c>
    </row>
    <row r="195" spans="1:8" x14ac:dyDescent="0.25">
      <c r="A195" s="1"/>
      <c r="B195" s="2" t="s">
        <v>245</v>
      </c>
      <c r="C195" s="3">
        <v>1</v>
      </c>
      <c r="D195" s="15" t="s">
        <v>244</v>
      </c>
      <c r="E195" s="15" t="s">
        <v>244</v>
      </c>
      <c r="F195" s="15" t="s">
        <v>244</v>
      </c>
      <c r="G195" s="10"/>
      <c r="H195" t="s">
        <v>271</v>
      </c>
    </row>
    <row r="196" spans="1:8" x14ac:dyDescent="0.25">
      <c r="A196" s="1"/>
      <c r="B196" s="9" t="s">
        <v>246</v>
      </c>
      <c r="C196" s="3">
        <v>1</v>
      </c>
      <c r="D196" s="15" t="s">
        <v>244</v>
      </c>
      <c r="E196" s="15" t="s">
        <v>244</v>
      </c>
      <c r="F196" s="15" t="s">
        <v>244</v>
      </c>
      <c r="G196" s="10"/>
      <c r="H196" t="s">
        <v>271</v>
      </c>
    </row>
    <row r="197" spans="1:8" x14ac:dyDescent="0.25">
      <c r="A197" s="1"/>
      <c r="B197" s="9" t="s">
        <v>247</v>
      </c>
      <c r="C197" s="3">
        <v>1</v>
      </c>
      <c r="D197" s="15" t="s">
        <v>244</v>
      </c>
      <c r="E197" s="15" t="s">
        <v>244</v>
      </c>
      <c r="F197" s="15" t="s">
        <v>244</v>
      </c>
      <c r="G197" s="10"/>
      <c r="H197" t="s">
        <v>271</v>
      </c>
    </row>
    <row r="198" spans="1:8" x14ac:dyDescent="0.25">
      <c r="A198" s="1"/>
      <c r="B198" s="9" t="s">
        <v>248</v>
      </c>
      <c r="C198" s="3">
        <v>1</v>
      </c>
      <c r="D198" s="15" t="s">
        <v>244</v>
      </c>
      <c r="E198" s="15" t="s">
        <v>244</v>
      </c>
      <c r="F198" s="15" t="s">
        <v>244</v>
      </c>
      <c r="G198" s="10"/>
      <c r="H198" t="s">
        <v>271</v>
      </c>
    </row>
    <row r="199" spans="1:8" x14ac:dyDescent="0.25">
      <c r="A199" s="1"/>
      <c r="B199" s="9" t="s">
        <v>249</v>
      </c>
      <c r="C199" s="3">
        <v>1</v>
      </c>
      <c r="D199" s="15" t="s">
        <v>244</v>
      </c>
      <c r="E199" s="15" t="s">
        <v>244</v>
      </c>
      <c r="F199" s="15" t="s">
        <v>244</v>
      </c>
      <c r="G199" s="10"/>
      <c r="H199" t="s">
        <v>271</v>
      </c>
    </row>
    <row r="200" spans="1:8" ht="17.25" x14ac:dyDescent="0.25">
      <c r="A200" s="6" t="s">
        <v>202</v>
      </c>
      <c r="B200" s="7"/>
      <c r="C200" s="25">
        <f>COUNTIF(C195:C199,"&gt; 0,01%")</f>
        <v>5</v>
      </c>
      <c r="D200" s="25">
        <f>COUNTA(D195:D199)</f>
        <v>5</v>
      </c>
      <c r="E200" s="25">
        <f>COUNTA(E195:E199)</f>
        <v>5</v>
      </c>
      <c r="F200" s="25">
        <f>COUNTA(F195:F199)</f>
        <v>5</v>
      </c>
      <c r="G200" s="25">
        <f>COUNTA(G195:G199)</f>
        <v>0</v>
      </c>
    </row>
    <row r="201" spans="1:8" x14ac:dyDescent="0.25">
      <c r="A201" s="1" t="s">
        <v>203</v>
      </c>
      <c r="B201" s="2" t="s">
        <v>204</v>
      </c>
      <c r="C201" s="3">
        <v>1</v>
      </c>
      <c r="D201" s="15" t="s">
        <v>251</v>
      </c>
      <c r="E201" s="15" t="s">
        <v>251</v>
      </c>
      <c r="F201" s="15" t="s">
        <v>244</v>
      </c>
      <c r="G201" s="10"/>
    </row>
    <row r="202" spans="1:8" x14ac:dyDescent="0.25">
      <c r="A202" s="1"/>
      <c r="B202" s="1" t="s">
        <v>205</v>
      </c>
      <c r="C202" s="3">
        <v>1</v>
      </c>
      <c r="D202" s="15" t="s">
        <v>251</v>
      </c>
      <c r="E202" s="15" t="s">
        <v>251</v>
      </c>
      <c r="F202" s="15" t="s">
        <v>251</v>
      </c>
      <c r="G202" s="10"/>
    </row>
    <row r="203" spans="1:8" ht="17.25" x14ac:dyDescent="0.25">
      <c r="A203" s="4" t="s">
        <v>206</v>
      </c>
      <c r="B203" s="5"/>
      <c r="C203" s="24">
        <f>COUNTIF(C201:C202,"&gt; 0,01%")</f>
        <v>2</v>
      </c>
      <c r="D203" s="24">
        <f>COUNTA(D201:D202)</f>
        <v>2</v>
      </c>
      <c r="E203" s="24">
        <f t="shared" ref="E203:G203" si="27">COUNTA(E201:E202)</f>
        <v>2</v>
      </c>
      <c r="F203" s="24">
        <f t="shared" si="27"/>
        <v>2</v>
      </c>
      <c r="G203" s="24">
        <f t="shared" si="27"/>
        <v>0</v>
      </c>
    </row>
    <row r="204" spans="1:8" x14ac:dyDescent="0.25">
      <c r="A204" s="1" t="s">
        <v>207</v>
      </c>
      <c r="B204" s="2" t="s">
        <v>208</v>
      </c>
      <c r="C204" s="3">
        <v>0</v>
      </c>
      <c r="D204" s="15"/>
      <c r="E204" s="15"/>
      <c r="F204" s="15"/>
      <c r="G204" s="10"/>
    </row>
    <row r="205" spans="1:8" x14ac:dyDescent="0.25">
      <c r="A205" s="1"/>
      <c r="B205" s="2" t="s">
        <v>209</v>
      </c>
      <c r="C205" s="3">
        <v>1</v>
      </c>
      <c r="D205" s="15" t="s">
        <v>244</v>
      </c>
      <c r="E205" s="15" t="s">
        <v>244</v>
      </c>
      <c r="F205" s="15" t="s">
        <v>244</v>
      </c>
      <c r="G205" s="10"/>
      <c r="H205" t="s">
        <v>269</v>
      </c>
    </row>
    <row r="206" spans="1:8" x14ac:dyDescent="0.25">
      <c r="A206" s="1"/>
      <c r="B206" s="2" t="s">
        <v>210</v>
      </c>
      <c r="C206" s="3">
        <v>1</v>
      </c>
      <c r="D206" s="15" t="s">
        <v>244</v>
      </c>
      <c r="E206" s="15" t="s">
        <v>244</v>
      </c>
      <c r="F206" s="15" t="s">
        <v>244</v>
      </c>
      <c r="G206" s="10"/>
      <c r="H206" t="s">
        <v>269</v>
      </c>
    </row>
    <row r="207" spans="1:8" x14ac:dyDescent="0.25">
      <c r="A207" s="1"/>
      <c r="B207" s="2" t="s">
        <v>211</v>
      </c>
      <c r="C207" s="3">
        <v>1</v>
      </c>
      <c r="D207" s="15" t="s">
        <v>244</v>
      </c>
      <c r="E207" s="15" t="s">
        <v>244</v>
      </c>
      <c r="F207" s="15" t="s">
        <v>244</v>
      </c>
      <c r="G207" s="10"/>
      <c r="H207" t="s">
        <v>269</v>
      </c>
    </row>
    <row r="208" spans="1:8" x14ac:dyDescent="0.25">
      <c r="A208" s="1"/>
      <c r="B208" s="2" t="s">
        <v>212</v>
      </c>
      <c r="C208" s="3">
        <v>1</v>
      </c>
      <c r="D208" s="15" t="s">
        <v>244</v>
      </c>
      <c r="E208" s="15" t="s">
        <v>244</v>
      </c>
      <c r="F208" s="15" t="s">
        <v>244</v>
      </c>
      <c r="G208" s="10"/>
      <c r="H208" t="s">
        <v>269</v>
      </c>
    </row>
    <row r="209" spans="1:8" x14ac:dyDescent="0.25">
      <c r="A209" s="8"/>
      <c r="B209" s="2" t="s">
        <v>213</v>
      </c>
      <c r="C209" s="3">
        <v>1</v>
      </c>
      <c r="D209" s="15" t="s">
        <v>244</v>
      </c>
      <c r="E209" s="15" t="s">
        <v>244</v>
      </c>
      <c r="F209" s="15" t="s">
        <v>244</v>
      </c>
      <c r="G209" s="10"/>
      <c r="H209" t="s">
        <v>269</v>
      </c>
    </row>
    <row r="210" spans="1:8" ht="17.25" x14ac:dyDescent="0.25">
      <c r="A210" s="6" t="s">
        <v>214</v>
      </c>
      <c r="B210" s="7"/>
      <c r="C210" s="25">
        <f>COUNTIF(C204:C209,"&gt; 0,01%")</f>
        <v>5</v>
      </c>
      <c r="D210" s="25">
        <f>COUNTA(D204:D209)</f>
        <v>5</v>
      </c>
      <c r="E210" s="25">
        <f t="shared" ref="E210:G210" si="28">COUNTA(E204:E209)</f>
        <v>5</v>
      </c>
      <c r="F210" s="25">
        <f t="shared" si="28"/>
        <v>5</v>
      </c>
      <c r="G210" s="25">
        <f t="shared" si="28"/>
        <v>0</v>
      </c>
    </row>
    <row r="211" spans="1:8" x14ac:dyDescent="0.25">
      <c r="A211" s="1" t="s">
        <v>215</v>
      </c>
      <c r="B211" s="2" t="s">
        <v>216</v>
      </c>
      <c r="C211" s="3">
        <v>4.7399999999999998E-2</v>
      </c>
      <c r="D211" s="15" t="s">
        <v>244</v>
      </c>
      <c r="E211" s="15" t="s">
        <v>244</v>
      </c>
      <c r="F211" s="15" t="s">
        <v>244</v>
      </c>
      <c r="G211" s="10"/>
    </row>
    <row r="212" spans="1:8" x14ac:dyDescent="0.25">
      <c r="A212" s="1"/>
      <c r="B212" s="2" t="s">
        <v>217</v>
      </c>
      <c r="C212" s="3">
        <v>1</v>
      </c>
      <c r="D212" s="15" t="s">
        <v>244</v>
      </c>
      <c r="E212" s="15" t="s">
        <v>244</v>
      </c>
      <c r="F212" s="15" t="s">
        <v>244</v>
      </c>
      <c r="G212" s="10"/>
    </row>
    <row r="213" spans="1:8" x14ac:dyDescent="0.25">
      <c r="A213" s="1"/>
      <c r="B213" s="2" t="s">
        <v>218</v>
      </c>
      <c r="C213" s="3">
        <v>0.6261740763932373</v>
      </c>
      <c r="D213" s="15" t="s">
        <v>244</v>
      </c>
      <c r="E213" s="15" t="s">
        <v>244</v>
      </c>
      <c r="F213" s="15" t="s">
        <v>244</v>
      </c>
      <c r="G213" s="10"/>
    </row>
    <row r="214" spans="1:8" x14ac:dyDescent="0.25">
      <c r="A214" s="8"/>
      <c r="B214" s="2" t="s">
        <v>219</v>
      </c>
      <c r="C214" s="3">
        <v>0</v>
      </c>
      <c r="D214" s="15"/>
      <c r="E214" s="15"/>
      <c r="F214" s="15"/>
      <c r="G214" s="10"/>
    </row>
    <row r="215" spans="1:8" x14ac:dyDescent="0.25">
      <c r="A215" s="8"/>
      <c r="B215" s="2" t="s">
        <v>220</v>
      </c>
      <c r="C215" s="3">
        <v>9.9887626420277181E-2</v>
      </c>
      <c r="D215" s="15" t="s">
        <v>244</v>
      </c>
      <c r="E215" s="15" t="s">
        <v>244</v>
      </c>
      <c r="F215" s="15" t="s">
        <v>244</v>
      </c>
      <c r="G215" s="10"/>
    </row>
    <row r="216" spans="1:8" x14ac:dyDescent="0.25">
      <c r="A216" s="8"/>
      <c r="B216" s="2" t="s">
        <v>221</v>
      </c>
      <c r="C216" s="3">
        <v>0.55030000000000001</v>
      </c>
      <c r="D216" s="15" t="s">
        <v>244</v>
      </c>
      <c r="E216" s="15" t="s">
        <v>244</v>
      </c>
      <c r="F216" s="15" t="s">
        <v>244</v>
      </c>
      <c r="G216" s="10"/>
    </row>
    <row r="217" spans="1:8" x14ac:dyDescent="0.25">
      <c r="A217" s="8"/>
      <c r="B217" s="2" t="s">
        <v>222</v>
      </c>
      <c r="C217" s="3">
        <v>0.16650000000000001</v>
      </c>
      <c r="D217" s="15" t="s">
        <v>244</v>
      </c>
      <c r="E217" s="15" t="s">
        <v>244</v>
      </c>
      <c r="F217" s="15" t="s">
        <v>244</v>
      </c>
      <c r="G217" s="10"/>
    </row>
    <row r="218" spans="1:8" x14ac:dyDescent="0.25">
      <c r="A218" s="8"/>
      <c r="B218" s="2" t="s">
        <v>223</v>
      </c>
      <c r="C218" s="3">
        <v>1</v>
      </c>
      <c r="D218" s="15" t="s">
        <v>244</v>
      </c>
      <c r="E218" s="15" t="s">
        <v>244</v>
      </c>
      <c r="F218" s="15" t="s">
        <v>244</v>
      </c>
      <c r="G218" s="10"/>
    </row>
    <row r="219" spans="1:8" x14ac:dyDescent="0.25">
      <c r="A219" s="8"/>
      <c r="B219" s="2" t="s">
        <v>224</v>
      </c>
      <c r="C219" s="3">
        <v>1</v>
      </c>
      <c r="D219" s="15" t="s">
        <v>244</v>
      </c>
      <c r="E219" s="15" t="s">
        <v>244</v>
      </c>
      <c r="F219" s="15" t="s">
        <v>244</v>
      </c>
      <c r="G219" s="10"/>
    </row>
    <row r="220" spans="1:8" x14ac:dyDescent="0.25">
      <c r="A220" s="8"/>
      <c r="B220" s="1" t="s">
        <v>225</v>
      </c>
      <c r="C220" s="3">
        <v>0</v>
      </c>
      <c r="D220" s="15"/>
      <c r="E220" s="15"/>
      <c r="F220" s="15"/>
      <c r="G220" s="10"/>
    </row>
    <row r="221" spans="1:8" x14ac:dyDescent="0.25">
      <c r="A221" s="8"/>
      <c r="B221" s="2" t="s">
        <v>226</v>
      </c>
      <c r="C221" s="3">
        <v>1</v>
      </c>
      <c r="D221" s="15" t="s">
        <v>244</v>
      </c>
      <c r="E221" s="15" t="s">
        <v>244</v>
      </c>
      <c r="F221" s="15" t="s">
        <v>244</v>
      </c>
      <c r="G221" s="10"/>
    </row>
    <row r="222" spans="1:8" x14ac:dyDescent="0.25">
      <c r="A222" s="8"/>
      <c r="B222" s="2" t="s">
        <v>227</v>
      </c>
      <c r="C222" s="3">
        <v>0.66225165562913912</v>
      </c>
      <c r="D222" s="15" t="s">
        <v>244</v>
      </c>
      <c r="E222" s="15" t="s">
        <v>244</v>
      </c>
      <c r="F222" s="15" t="s">
        <v>244</v>
      </c>
      <c r="G222" s="10"/>
    </row>
    <row r="223" spans="1:8" x14ac:dyDescent="0.25">
      <c r="A223" s="8"/>
      <c r="B223" s="2" t="s">
        <v>228</v>
      </c>
      <c r="C223" s="3">
        <v>1</v>
      </c>
      <c r="D223" s="15" t="s">
        <v>244</v>
      </c>
      <c r="E223" s="15" t="s">
        <v>244</v>
      </c>
      <c r="F223" s="15" t="s">
        <v>244</v>
      </c>
      <c r="G223" s="10"/>
    </row>
    <row r="224" spans="1:8" x14ac:dyDescent="0.25">
      <c r="A224" s="8"/>
      <c r="B224" s="2" t="s">
        <v>229</v>
      </c>
      <c r="C224" s="3">
        <v>1</v>
      </c>
      <c r="D224" s="15" t="s">
        <v>244</v>
      </c>
      <c r="E224" s="15" t="s">
        <v>244</v>
      </c>
      <c r="F224" s="15" t="s">
        <v>244</v>
      </c>
      <c r="G224" s="10"/>
    </row>
    <row r="225" spans="1:7" x14ac:dyDescent="0.25">
      <c r="A225" s="8"/>
      <c r="B225" s="1" t="s">
        <v>230</v>
      </c>
      <c r="C225" s="3">
        <v>0</v>
      </c>
      <c r="D225" s="15"/>
      <c r="E225" s="15"/>
      <c r="F225" s="15"/>
      <c r="G225" s="10"/>
    </row>
    <row r="226" spans="1:7" x14ac:dyDescent="0.25">
      <c r="A226" s="8"/>
      <c r="B226" s="2" t="s">
        <v>231</v>
      </c>
      <c r="C226" s="31">
        <v>1</v>
      </c>
      <c r="D226" s="15"/>
      <c r="E226" s="15"/>
      <c r="F226" s="15"/>
      <c r="G226" s="10"/>
    </row>
    <row r="227" spans="1:7" x14ac:dyDescent="0.25">
      <c r="A227" s="8"/>
      <c r="B227" s="2" t="s">
        <v>232</v>
      </c>
      <c r="C227" s="3">
        <v>1</v>
      </c>
      <c r="D227" s="15" t="s">
        <v>244</v>
      </c>
      <c r="E227" s="15" t="s">
        <v>244</v>
      </c>
      <c r="F227" s="15" t="s">
        <v>244</v>
      </c>
      <c r="G227" s="10"/>
    </row>
    <row r="228" spans="1:7" ht="17.25" x14ac:dyDescent="0.25">
      <c r="A228" s="4" t="s">
        <v>215</v>
      </c>
      <c r="B228" s="5"/>
      <c r="C228" s="24">
        <f>COUNTIF(C211:C227,"&gt; 0,01%")</f>
        <v>14</v>
      </c>
      <c r="D228" s="24">
        <f>COUNTA(D211:D227)</f>
        <v>13</v>
      </c>
      <c r="E228" s="24">
        <f t="shared" ref="E228:G228" si="29">COUNTA(E211:E227)</f>
        <v>13</v>
      </c>
      <c r="F228" s="24">
        <f t="shared" si="29"/>
        <v>13</v>
      </c>
      <c r="G228" s="24">
        <f t="shared" si="29"/>
        <v>0</v>
      </c>
    </row>
    <row r="229" spans="1:7" x14ac:dyDescent="0.25">
      <c r="A229" s="1" t="s">
        <v>233</v>
      </c>
      <c r="B229" s="2" t="s">
        <v>234</v>
      </c>
      <c r="C229" s="3">
        <v>1</v>
      </c>
      <c r="D229" s="15" t="s">
        <v>244</v>
      </c>
      <c r="E229" s="15" t="s">
        <v>244</v>
      </c>
      <c r="F229" s="15" t="s">
        <v>244</v>
      </c>
      <c r="G229" s="10"/>
    </row>
    <row r="230" spans="1:7" x14ac:dyDescent="0.25">
      <c r="A230" s="1"/>
      <c r="B230" s="2" t="s">
        <v>235</v>
      </c>
      <c r="C230" s="3">
        <v>1</v>
      </c>
      <c r="D230" s="15" t="s">
        <v>244</v>
      </c>
      <c r="E230" s="15" t="s">
        <v>244</v>
      </c>
      <c r="F230" s="15" t="s">
        <v>244</v>
      </c>
      <c r="G230" s="10"/>
    </row>
    <row r="231" spans="1:7" x14ac:dyDescent="0.25">
      <c r="A231" s="1"/>
      <c r="B231" s="2" t="s">
        <v>236</v>
      </c>
      <c r="C231" s="3">
        <v>1</v>
      </c>
      <c r="D231" s="15" t="s">
        <v>244</v>
      </c>
      <c r="E231" s="15" t="s">
        <v>244</v>
      </c>
      <c r="F231" s="15" t="s">
        <v>244</v>
      </c>
      <c r="G231" s="10"/>
    </row>
    <row r="232" spans="1:7" ht="18" thickBot="1" x14ac:dyDescent="0.3">
      <c r="A232" s="6" t="s">
        <v>237</v>
      </c>
      <c r="B232" s="7"/>
      <c r="C232" s="25">
        <f>COUNTIF(C229:C231,"&gt; 0,01%")</f>
        <v>3</v>
      </c>
      <c r="D232" s="26">
        <f>COUNTA(D229:D231)</f>
        <v>3</v>
      </c>
      <c r="E232" s="26">
        <f t="shared" ref="E232:G232" si="30">COUNTA(E229:E231)</f>
        <v>3</v>
      </c>
      <c r="F232" s="26">
        <f t="shared" si="30"/>
        <v>3</v>
      </c>
      <c r="G232" s="26">
        <f t="shared" si="30"/>
        <v>0</v>
      </c>
    </row>
    <row r="233" spans="1:7" ht="30" thickTop="1" thickBot="1" x14ac:dyDescent="0.3">
      <c r="A233" s="12" t="s">
        <v>238</v>
      </c>
      <c r="B233" s="13"/>
      <c r="C233" s="27">
        <f>SUM(C17,C20,C35,C44,C47,C50,C55,C57,C61,C66,C68,C78,C84,C86,C94,C99,C104,C121,C124,C126,C130,C132,C137,C140,C143,C145,C180,C182,C186,C188,C194,C200,C203,C210,C228,C232)</f>
        <v>158</v>
      </c>
      <c r="D233" s="27">
        <f>SUBTOTAL(109,D4:D232)</f>
        <v>139</v>
      </c>
      <c r="E233" s="27">
        <f>SUBTOTAL(109,E4:E232)</f>
        <v>131</v>
      </c>
      <c r="F233" s="27">
        <f>SUBTOTAL(109,F4:F232)</f>
        <v>131</v>
      </c>
      <c r="G233" s="27">
        <f>SUBTOTAL(109,G4:G232)</f>
        <v>0</v>
      </c>
    </row>
    <row r="234" spans="1:7" ht="34.5" customHeight="1" thickBot="1" x14ac:dyDescent="0.3">
      <c r="A234" s="35" t="s">
        <v>252</v>
      </c>
      <c r="B234" s="36"/>
      <c r="C234" s="32">
        <f>D233/C233</f>
        <v>0.879746835443038</v>
      </c>
      <c r="D234" s="33"/>
      <c r="E234" s="33"/>
      <c r="F234" s="33"/>
      <c r="G234" s="34"/>
    </row>
  </sheetData>
  <mergeCells count="3">
    <mergeCell ref="C234:G234"/>
    <mergeCell ref="A234:B234"/>
    <mergeCell ref="A1:F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C4105-5D38-415A-A933-4087B83C59A6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0B04-5EAF-456B-9EEA-7443EFF3CC83}">
  <dimension ref="A1"/>
  <sheetViews>
    <sheetView workbookViewId="0">
      <selection sqref="A1:A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80F30-0805-40DE-A8D9-80A74A852359}">
  <dimension ref="A1"/>
  <sheetViews>
    <sheetView zoomScale="115" zoomScaleNormal="115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Plantio 2026</vt:lpstr>
      <vt:lpstr>Planilha4</vt:lpstr>
      <vt:lpstr>Planilha3</vt:lpstr>
      <vt:lpstr>Planilha1</vt:lpstr>
    </vt:vector>
  </TitlesOfParts>
  <Company>Usina Coruripe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Gomes Bianchi</dc:creator>
  <cp:lastModifiedBy>Vinicius Gomes Bianchi</cp:lastModifiedBy>
  <dcterms:created xsi:type="dcterms:W3CDTF">2026-04-28T14:41:49Z</dcterms:created>
  <dcterms:modified xsi:type="dcterms:W3CDTF">2026-06-26T15:28:06Z</dcterms:modified>
</cp:coreProperties>
</file>